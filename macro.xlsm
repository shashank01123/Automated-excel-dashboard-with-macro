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A:\"/>
    </mc:Choice>
  </mc:AlternateContent>
  <xr:revisionPtr revIDLastSave="0" documentId="13_ncr:1_{F47918A7-49C7-4048-905D-FE694F03EB61}" xr6:coauthVersionLast="47" xr6:coauthVersionMax="47" xr10:uidLastSave="{00000000-0000-0000-0000-000000000000}"/>
  <bookViews>
    <workbookView xWindow="-108" yWindow="-108" windowWidth="23256" windowHeight="12456" activeTab="2" xr2:uid="{7D7932A0-A152-45CD-B2F0-FCD7FBD4FDD1}"/>
  </bookViews>
  <sheets>
    <sheet name="Sheet1" sheetId="1" r:id="rId1"/>
    <sheet name="sheet 2" sheetId="3" r:id="rId2"/>
    <sheet name="FInancial dashboard" sheetId="2" r:id="rId3"/>
  </sheets>
  <definedNames>
    <definedName name="Slicer_Date_Hierarchy">#N/A</definedName>
  </definedNames>
  <calcPr calcId="191029"/>
  <pivotCaches>
    <pivotCache cacheId="825" r:id="rId4"/>
    <pivotCache cacheId="828" r:id="rId5"/>
    <pivotCache cacheId="831" r:id="rId6"/>
    <pivotCache cacheId="834" r:id="rId7"/>
    <pivotCache cacheId="837" r:id="rId8"/>
    <pivotCache cacheId="840" r:id="rId9"/>
    <pivotCache cacheId="843" r:id="rId10"/>
  </pivotCaches>
  <extLst>
    <ext xmlns:x14="http://schemas.microsoft.com/office/spreadsheetml/2009/9/main" uri="{876F7934-8845-4945-9796-88D515C7AA90}">
      <x14:pivotCaches>
        <pivotCache cacheId="824" r:id="rId11"/>
      </x14:pivotCaches>
    </ex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students_5d08b7c2-02fb-4f3b-a7df-5831e50bd4f7" name="dim_students" connection="Query - dim_students"/>
          <x15:modelTable id="dim_coursecompletion_fb21a155-d0e6-4439-aa23-093cdcb095fb" name="dim_coursecompletion" connection="Query - dim_coursecompletion"/>
          <x15:modelTable id="dim_authority_33b1a6c2-8af1-4d0e-9c9b-5f91c0b29e2a" name="dim_authority" connection="Query - dim_authority"/>
          <x15:modelTable id="Dim_FeesMonthly_b9637959-6a0c-4b76-a5f1-c074ae7889fb" name="Dim_FeesMonthly" connection="Query - Dim_FeesMonthly"/>
          <x15:modelTable id="Dim_TotalFees_d832787d-d6a3-437f-80f6-3b7b46566d66" name="Dim_TotalFees" connection="Query - Dim_TotalFees"/>
          <x15:modelTable id="FactTest_d6088136-d168-4ecc-b0f2-9702978da9f9" name="FactTest" connection="Query - FactTest"/>
          <x15:modelTable id="Dim_Courses_2168d4ee-7781-48be-a4e3-3f558671b8d0" name="Dim_Courses" connection="Query - Dim_Courses"/>
          <x15:modelTable id="fact_transactions_0f904a01-cd82-42e8-84fe-e33c46b77334" name="fact_transactions" connection="Query - fact_transactions"/>
          <x15:modelTable id="Dashboard_measures_6ed35aee-7840-4cfa-a12e-d92674c0de11" name="Dashboard_measures" connection="Query - Dashboard_measures"/>
          <x15:modelTable id="Calendar" name="Calendar" connection="Connection"/>
        </x15:modelTables>
        <x15:modelRelationships>
          <x15:modelRelationship fromTable="dim_students" fromColumn="Course_id" toTable="Dim_Courses" toColumn="Courseid"/>
          <x15:modelRelationship fromTable="Dim_TotalFees" fromColumn="student_id (Unqiue)" toTable="Dim_FeesMonthly" toColumn="student_id (Unqiue)"/>
          <x15:modelRelationship fromTable="fact_transactions" fromColumn="Student ID" toTable="dim_students" toColumn="Student ID"/>
          <x15:modelRelationship fromTable="fact_transactions" fromColumn="Date" toTable="Calendar" toColumn="Date"/>
          <x15:modelRelationship fromTable="fact_transactions" fromColumn="Student ID" toTable="dim_coursecompletion" toColumn="Student_Id"/>
          <x15:modelRelationship fromTable="fact_transactions" fromColumn="Student ID" toTable="FactTest" toColumn="Student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2" i="3" l="1"/>
  <c r="B22" i="3"/>
  <c r="C16" i="3"/>
  <c r="B16" i="3"/>
  <c r="P11" i="3"/>
  <c r="P27" i="3"/>
  <c r="P28" i="3"/>
  <c r="P26" i="3"/>
  <c r="O27" i="3"/>
  <c r="O28" i="3"/>
  <c r="O26" i="3"/>
  <c r="C23"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F503A9-BB16-4430-BD14-D8EBC17A40C3}" name="Connection" type="104" refreshedVersion="0" background="1">
    <extLst>
      <ext xmlns:x15="http://schemas.microsoft.com/office/spreadsheetml/2010/11/main" uri="{DE250136-89BD-433C-8126-D09CA5730AF9}">
        <x15:connection id="Calendar"/>
      </ext>
    </extLst>
  </connection>
  <connection id="2" xr16:uid="{7D8ED792-5717-4B0C-B7DE-7556F1CEEABB}" name="Query - Dashboard_measures" description="Connection to the 'Dashboard_measures' query in the workbook." type="100" refreshedVersion="8" minRefreshableVersion="5">
    <extLst>
      <ext xmlns:x15="http://schemas.microsoft.com/office/spreadsheetml/2010/11/main" uri="{DE250136-89BD-433C-8126-D09CA5730AF9}">
        <x15:connection id="e371541a-eb9f-42f7-ac65-650bf08c818b"/>
      </ext>
    </extLst>
  </connection>
  <connection id="3" xr16:uid="{24ECC4A8-8CD9-4601-8E30-5588C8215765}" name="Query - dim_authority" description="Connection to the 'dim_authority' query in the workbook." type="100" refreshedVersion="8" minRefreshableVersion="5">
    <extLst>
      <ext xmlns:x15="http://schemas.microsoft.com/office/spreadsheetml/2010/11/main" uri="{DE250136-89BD-433C-8126-D09CA5730AF9}">
        <x15:connection id="0b64bde9-71a1-4078-9a7e-384b813075a0"/>
      </ext>
    </extLst>
  </connection>
  <connection id="4" xr16:uid="{25FE1FF0-919E-4A10-8E83-126C777144EE}" name="Query - dim_coursecompletion" description="Connection to the 'dim_coursecompletion' query in the workbook." type="100" refreshedVersion="8" minRefreshableVersion="5">
    <extLst>
      <ext xmlns:x15="http://schemas.microsoft.com/office/spreadsheetml/2010/11/main" uri="{DE250136-89BD-433C-8126-D09CA5730AF9}">
        <x15:connection id="2ff47c5a-f250-4a11-a65c-17013122bfef"/>
      </ext>
    </extLst>
  </connection>
  <connection id="5" xr16:uid="{27045C73-FF63-4DE4-A5E8-CF7DF88A0FCB}" name="Query - Dim_Courses" description="Connection to the 'Dim_Courses' query in the workbook." type="100" refreshedVersion="8" minRefreshableVersion="5">
    <extLst>
      <ext xmlns:x15="http://schemas.microsoft.com/office/spreadsheetml/2010/11/main" uri="{DE250136-89BD-433C-8126-D09CA5730AF9}">
        <x15:connection id="6141fc76-a07b-4902-bf82-2c542c92ed4a"/>
      </ext>
    </extLst>
  </connection>
  <connection id="6" xr16:uid="{0DC1743B-D33D-4FC9-96E5-82ADE35CE6E7}" name="Query - Dim_FeesMonthly" description="Connection to the 'Dim_FeesMonthly' query in the workbook." type="100" refreshedVersion="8" minRefreshableVersion="5">
    <extLst>
      <ext xmlns:x15="http://schemas.microsoft.com/office/spreadsheetml/2010/11/main" uri="{DE250136-89BD-433C-8126-D09CA5730AF9}">
        <x15:connection id="f4c071b0-d0fb-4ec1-9d35-8b2ec5df9d7d"/>
      </ext>
    </extLst>
  </connection>
  <connection id="7" xr16:uid="{9918E017-8F63-4E7C-9072-6EA1E73FB99C}" name="Query - dim_students" description="Connection to the 'dim_students' query in the workbook." type="100" refreshedVersion="8" minRefreshableVersion="5">
    <extLst>
      <ext xmlns:x15="http://schemas.microsoft.com/office/spreadsheetml/2010/11/main" uri="{DE250136-89BD-433C-8126-D09CA5730AF9}">
        <x15:connection id="f1bbeaeb-f00e-4de4-bef2-3359619131ac"/>
      </ext>
    </extLst>
  </connection>
  <connection id="8" xr16:uid="{F9452ED1-5428-48BA-8BFC-B71F750E58F2}" name="Query - Dim_TotalFees" description="Connection to the 'Dim_TotalFees' query in the workbook." type="100" refreshedVersion="8" minRefreshableVersion="5">
    <extLst>
      <ext xmlns:x15="http://schemas.microsoft.com/office/spreadsheetml/2010/11/main" uri="{DE250136-89BD-433C-8126-D09CA5730AF9}">
        <x15:connection id="aef88525-143f-43a2-bc9a-269d1d1e6a63"/>
      </ext>
    </extLst>
  </connection>
  <connection id="9" xr16:uid="{812D7DBE-E677-480A-A267-51A7145E3234}" name="Query - fact_transactions" description="Connection to the 'fact_transactions' query in the workbook." type="100" refreshedVersion="8" minRefreshableVersion="5">
    <extLst>
      <ext xmlns:x15="http://schemas.microsoft.com/office/spreadsheetml/2010/11/main" uri="{DE250136-89BD-433C-8126-D09CA5730AF9}">
        <x15:connection id="ab701923-9571-4159-a199-b31479f3ee91"/>
      </ext>
    </extLst>
  </connection>
  <connection id="10" xr16:uid="{DDED02CF-5C28-4741-A3FE-64076CCD536B}" keepAlive="1" name="Query - FactDec2024" description="Connection to the 'FactDec2024' query in the workbook." type="5" refreshedVersion="0" background="1">
    <dbPr connection="Provider=Microsoft.Mashup.OleDb.1;Data Source=$Workbook$;Location=FactDec2024;Extended Properties=&quot;&quot;" command="SELECT * FROM [FactDec2024]"/>
  </connection>
  <connection id="11" xr16:uid="{F42AC894-880F-41F7-A1A2-750EB939F67D}" keepAlive="1" name="Query - FactNov2024" description="Connection to the 'FactNov2024' query in the workbook." type="5" refreshedVersion="0" background="1">
    <dbPr connection="Provider=Microsoft.Mashup.OleDb.1;Data Source=$Workbook$;Location=FactNov2024;Extended Properties=&quot;&quot;" command="SELECT * FROM [FactNov2024]"/>
  </connection>
  <connection id="12" xr16:uid="{F3C28065-EF1A-4F18-8CAC-7235BFCFA755}" name="Query - FactTest" description="Connection to the 'FactTest' query in the workbook." type="100" refreshedVersion="8" minRefreshableVersion="5">
    <extLst>
      <ext xmlns:x15="http://schemas.microsoft.com/office/spreadsheetml/2010/11/main" uri="{DE250136-89BD-433C-8126-D09CA5730AF9}">
        <x15:connection id="51b516f4-6bf0-4b82-962e-bab3d8c6347c"/>
      </ext>
    </extLst>
  </connection>
  <connection id="13" xr16:uid="{A232A727-5E97-4F6A-A214-0AB9185EAC45}" keepAlive="1" name="Query - FactTest (2)" description="Connection to the 'FactTest (2)' query in the workbook." type="5" refreshedVersion="8" background="1" saveData="1">
    <dbPr connection="Provider=Microsoft.Mashup.OleDb.1;Data Source=$Workbook$;Location=&quot;FactTest (2)&quot;;Extended Properties=&quot;&quot;" command="SELECT * FROM [FactTest (2)]"/>
  </connection>
  <connection id="14" xr16:uid="{61BDAADE-9BB6-4D4E-8DA3-21B572D19DF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<sst xmlns="http://schemas.openxmlformats.org/spreadsheetml/2006/main" count="253" uniqueCount="133">
  <si>
    <t>Student ID</t>
  </si>
  <si>
    <t>student_name</t>
  </si>
  <si>
    <t>courses</t>
  </si>
  <si>
    <t>Course_id</t>
  </si>
  <si>
    <t>Anurag Verman</t>
  </si>
  <si>
    <t>Full Stack Developer</t>
  </si>
  <si>
    <t>Shivam Bahuguna</t>
  </si>
  <si>
    <t>Data Analysis</t>
  </si>
  <si>
    <t>Vicky Bahuguna</t>
  </si>
  <si>
    <t>Sushil Saini</t>
  </si>
  <si>
    <t>Amit Rana</t>
  </si>
  <si>
    <t>Advance Excel</t>
  </si>
  <si>
    <t>Sudhir</t>
  </si>
  <si>
    <t>Ajeet</t>
  </si>
  <si>
    <t>Raman</t>
  </si>
  <si>
    <t>Neeraj</t>
  </si>
  <si>
    <t>Digital Marketing</t>
  </si>
  <si>
    <t>Sonia</t>
  </si>
  <si>
    <t>Ravi</t>
  </si>
  <si>
    <t>Collected_Authority_ID</t>
  </si>
  <si>
    <t>Name</t>
  </si>
  <si>
    <t>Anjali Rawat</t>
  </si>
  <si>
    <t>Mrs. Madhu Gupta Mam</t>
  </si>
  <si>
    <t>Student_Id</t>
  </si>
  <si>
    <t>Status</t>
  </si>
  <si>
    <t>Running</t>
  </si>
  <si>
    <t>Completed</t>
  </si>
  <si>
    <t>Recipt No</t>
  </si>
  <si>
    <t>Date</t>
  </si>
  <si>
    <t>Amount</t>
  </si>
  <si>
    <t>student_id (Unqiue)</t>
  </si>
  <si>
    <t>Fees per month</t>
  </si>
  <si>
    <t>Total Fees</t>
  </si>
  <si>
    <t>Studentid</t>
  </si>
  <si>
    <t>test 1</t>
  </si>
  <si>
    <t>test 2</t>
  </si>
  <si>
    <t>test 3</t>
  </si>
  <si>
    <t>Students'Name</t>
  </si>
  <si>
    <t>projected scores</t>
  </si>
  <si>
    <t>Courseid</t>
  </si>
  <si>
    <t>Course Name</t>
  </si>
  <si>
    <t>Total Duration</t>
  </si>
  <si>
    <t>Daily Classess</t>
  </si>
  <si>
    <t>Book Material</t>
  </si>
  <si>
    <t>Certification</t>
  </si>
  <si>
    <t>N</t>
  </si>
  <si>
    <t>SSC</t>
  </si>
  <si>
    <t>BM</t>
  </si>
  <si>
    <t>Software Development</t>
  </si>
  <si>
    <t>Sarva</t>
  </si>
  <si>
    <t>Power BI</t>
  </si>
  <si>
    <t>Smart Tally Xpert</t>
  </si>
  <si>
    <t>Y</t>
  </si>
  <si>
    <t>Spoken Englsh</t>
  </si>
  <si>
    <t>Personality Development</t>
  </si>
  <si>
    <t>Business Communication</t>
  </si>
  <si>
    <t>Interior Designing</t>
  </si>
  <si>
    <t>Graphic Designing</t>
  </si>
  <si>
    <t>session_id</t>
  </si>
  <si>
    <t>session name</t>
  </si>
  <si>
    <t>expert_faculty_id</t>
  </si>
  <si>
    <t>logical thinking</t>
  </si>
  <si>
    <t>money management</t>
  </si>
  <si>
    <t>portfolio building</t>
  </si>
  <si>
    <t>career guidance</t>
  </si>
  <si>
    <t>career in data analytics</t>
  </si>
  <si>
    <t>resume writing</t>
  </si>
  <si>
    <t>interview guidance</t>
  </si>
  <si>
    <t>personal life management</t>
  </si>
  <si>
    <t>ancientist technique of learning</t>
  </si>
  <si>
    <t>how to make great notes</t>
  </si>
  <si>
    <t>faculty_id</t>
  </si>
  <si>
    <t>faculty name</t>
  </si>
  <si>
    <t>expertise</t>
  </si>
  <si>
    <t>current role</t>
  </si>
  <si>
    <t>Data, Soft Skills, Personal Guidance, English</t>
  </si>
  <si>
    <t>manager -brilliant makers</t>
  </si>
  <si>
    <t>Anuj Singh Rathore</t>
  </si>
  <si>
    <t>Soft &amp; web development, digital marketing</t>
  </si>
  <si>
    <t>manager -paras infotech</t>
  </si>
  <si>
    <t>Santoshi</t>
  </si>
  <si>
    <t>MS Office, Internet</t>
  </si>
  <si>
    <t>senior faculty</t>
  </si>
  <si>
    <t>Kajal</t>
  </si>
  <si>
    <t>Accounting &amp; Basic</t>
  </si>
  <si>
    <t>mid-level faculty</t>
  </si>
  <si>
    <t>Shalini</t>
  </si>
  <si>
    <t>Programming &amp; Basic Data</t>
  </si>
  <si>
    <t>Himanshu</t>
  </si>
  <si>
    <t>Graphic Desiner and Senior Faculty</t>
  </si>
  <si>
    <t>date</t>
  </si>
  <si>
    <t>student id</t>
  </si>
  <si>
    <t>session id</t>
  </si>
  <si>
    <t>faculty id</t>
  </si>
  <si>
    <t>response</t>
  </si>
  <si>
    <t>feedback</t>
  </si>
  <si>
    <t>good</t>
  </si>
  <si>
    <t>it was a good experience.</t>
  </si>
  <si>
    <t>very good</t>
  </si>
  <si>
    <t>such sessions need to be taken on regular basis</t>
  </si>
  <si>
    <t>fair</t>
  </si>
  <si>
    <t>it was okay.</t>
  </si>
  <si>
    <t>I am happy.</t>
  </si>
  <si>
    <t>I enjoyed.</t>
  </si>
  <si>
    <t>not interested</t>
  </si>
  <si>
    <t>for me the session was not good as it was not  from my domain</t>
  </si>
  <si>
    <t>Field</t>
  </si>
  <si>
    <t>Courses</t>
  </si>
  <si>
    <t>Fees</t>
  </si>
  <si>
    <t>Data</t>
  </si>
  <si>
    <t>SQL</t>
  </si>
  <si>
    <t>Mongo DB</t>
  </si>
  <si>
    <t>Accounting</t>
  </si>
  <si>
    <t>Tally Prime</t>
  </si>
  <si>
    <t>GST</t>
  </si>
  <si>
    <t>Income Tax</t>
  </si>
  <si>
    <t>Report Making</t>
  </si>
  <si>
    <t>Financial Analysis</t>
  </si>
  <si>
    <t>Grand Total</t>
  </si>
  <si>
    <t>Students</t>
  </si>
  <si>
    <t>nov2023</t>
  </si>
  <si>
    <t>Dec 2024</t>
  </si>
  <si>
    <t>Diffrence</t>
  </si>
  <si>
    <t>Test</t>
  </si>
  <si>
    <t>Projected</t>
  </si>
  <si>
    <t>Actual</t>
  </si>
  <si>
    <t>nov 2024</t>
  </si>
  <si>
    <t>diffrence</t>
  </si>
  <si>
    <t>Sum of Amount</t>
  </si>
  <si>
    <t>YEAR</t>
  </si>
  <si>
    <t>November</t>
  </si>
  <si>
    <t>December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</si>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</sst>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
    <numFmt numFmtId="165" formatCode="[Blue]#;[Red]\-#"/>
  </numFmts>
  <fonts count="9" x14ac:knownFonts="1">
    <font>
      <sz val="11"/>
      <color theme="1"/>
      <name val="Calibri"/>
      <family val="2"/>
      <scheme val="minor"/>
    </font>
    <font>
      <sz val="11"/>
      <color theme="0"/>
      <name val="Calibri"/>
      <family val="2"/>
      <scheme val="minor"/>
    </font>
    <font>
      <b/>
      <sz val="11"/>
      <name val="Arial"/>
      <family val="2"/>
    </font>
    <font>
      <sz val="11"/>
      <name val="Arial"/>
      <family val="2"/>
    </font>
    <font>
      <b/>
      <sz val="11"/>
      <color rgb="FF000000"/>
      <name val="Arial"/>
      <family val="2"/>
    </font>
    <font>
      <b/>
      <sz val="11"/>
      <name val="Arial"/>
    </font>
    <font>
      <sz val="8"/>
      <name val="Calibri"/>
      <family val="2"/>
      <scheme val="minor"/>
    </font>
    <font>
      <sz val="16"/>
      <color theme="1"/>
      <name val="Calibri"/>
      <family val="2"/>
      <scheme val="minor"/>
    </font>
    <font>
      <b/>
      <sz val="14"/>
      <color rgb="FF000000"/>
      <name val="Corbel"/>
      <family val="2"/>
    </font>
  </fonts>
  <fills count="5">
    <fill>
      <patternFill patternType="none"/>
    </fill>
    <fill>
      <patternFill patternType="gray125"/>
    </fill>
    <fill>
      <patternFill patternType="solid">
        <fgColor rgb="FFF6CFD0"/>
        <bgColor rgb="FFF6CFD0"/>
      </patternFill>
    </fill>
    <fill>
      <patternFill patternType="solid">
        <fgColor rgb="FFC62324"/>
        <bgColor rgb="FFC62324"/>
      </patternFill>
    </fill>
    <fill>
      <patternFill patternType="solid">
        <fgColor rgb="FFE2F4C9"/>
        <bgColor rgb="FFE2F4C9"/>
      </patternFill>
    </fill>
  </fills>
  <borders count="10">
    <border>
      <left/>
      <right/>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0" fillId="3" borderId="4"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0" fillId="0" borderId="0" xfId="0" applyAlignment="1">
      <alignment horizontal="center"/>
    </xf>
    <xf numFmtId="0" fontId="0" fillId="3"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2" fillId="2" borderId="1" xfId="0" applyFont="1" applyFill="1" applyBorder="1"/>
    <xf numFmtId="0" fontId="2" fillId="2" borderId="3" xfId="0" applyFont="1" applyFill="1" applyBorder="1"/>
    <xf numFmtId="0" fontId="3" fillId="2" borderId="4" xfId="0" applyFont="1" applyFill="1" applyBorder="1"/>
    <xf numFmtId="0" fontId="3" fillId="2" borderId="6" xfId="0" applyFont="1" applyFill="1" applyBorder="1"/>
    <xf numFmtId="0" fontId="3" fillId="2" borderId="7" xfId="0" applyFont="1" applyFill="1" applyBorder="1"/>
    <xf numFmtId="0" fontId="3" fillId="2" borderId="9" xfId="0" applyFont="1" applyFill="1" applyBorder="1"/>
    <xf numFmtId="0" fontId="0" fillId="3" borderId="4" xfId="0" applyFill="1" applyBorder="1"/>
    <xf numFmtId="0" fontId="0" fillId="2" borderId="6" xfId="0" applyFill="1" applyBorder="1"/>
    <xf numFmtId="0" fontId="0" fillId="3" borderId="7" xfId="0" applyFill="1" applyBorder="1"/>
    <xf numFmtId="0" fontId="0" fillId="2" borderId="9" xfId="0" applyFill="1" applyBorder="1"/>
    <xf numFmtId="0" fontId="2" fillId="4" borderId="1" xfId="0" applyFont="1" applyFill="1" applyBorder="1" applyAlignment="1">
      <alignment horizontal="center"/>
    </xf>
    <xf numFmtId="0" fontId="2" fillId="4" borderId="2" xfId="0" applyFont="1" applyFill="1" applyBorder="1" applyAlignment="1">
      <alignment horizontal="center"/>
    </xf>
    <xf numFmtId="0" fontId="2" fillId="4" borderId="3" xfId="0" applyFont="1" applyFill="1" applyBorder="1" applyAlignment="1">
      <alignment horizontal="center"/>
    </xf>
    <xf numFmtId="0" fontId="3" fillId="4" borderId="5" xfId="0" applyFont="1" applyFill="1" applyBorder="1" applyAlignment="1">
      <alignment horizontal="center"/>
    </xf>
    <xf numFmtId="14" fontId="3" fillId="4" borderId="5" xfId="0" applyNumberFormat="1" applyFont="1" applyFill="1" applyBorder="1" applyAlignment="1">
      <alignment horizontal="center"/>
    </xf>
    <xf numFmtId="0" fontId="3" fillId="3" borderId="5" xfId="0" applyFont="1" applyFill="1" applyBorder="1" applyAlignment="1">
      <alignment horizontal="center"/>
    </xf>
    <xf numFmtId="0" fontId="2" fillId="4" borderId="1" xfId="0" applyFont="1" applyFill="1" applyBorder="1"/>
    <xf numFmtId="0" fontId="2" fillId="4" borderId="2" xfId="0" applyFont="1" applyFill="1" applyBorder="1"/>
    <xf numFmtId="0" fontId="2" fillId="4" borderId="3" xfId="0" applyFont="1" applyFill="1" applyBorder="1"/>
    <xf numFmtId="0" fontId="3" fillId="4" borderId="4" xfId="0" applyFont="1" applyFill="1" applyBorder="1" applyAlignment="1">
      <alignment horizontal="center"/>
    </xf>
    <xf numFmtId="0" fontId="3" fillId="4" borderId="6" xfId="0" applyFont="1" applyFill="1" applyBorder="1" applyAlignment="1">
      <alignment horizontal="center"/>
    </xf>
    <xf numFmtId="0" fontId="3" fillId="0" borderId="0" xfId="0" applyFont="1" applyAlignment="1">
      <alignment horizontal="center"/>
    </xf>
    <xf numFmtId="0" fontId="3" fillId="4" borderId="7" xfId="0" applyFont="1" applyFill="1" applyBorder="1" applyAlignment="1">
      <alignment horizontal="center"/>
    </xf>
    <xf numFmtId="14" fontId="3" fillId="4" borderId="8" xfId="0" applyNumberFormat="1" applyFont="1" applyFill="1" applyBorder="1" applyAlignment="1">
      <alignment horizontal="center"/>
    </xf>
    <xf numFmtId="0" fontId="3" fillId="3" borderId="8" xfId="0" applyFont="1" applyFill="1" applyBorder="1" applyAlignment="1">
      <alignment horizontal="center"/>
    </xf>
    <xf numFmtId="0" fontId="3" fillId="4" borderId="9" xfId="0" applyFont="1" applyFill="1" applyBorder="1" applyAlignment="1">
      <alignment horizontal="center"/>
    </xf>
    <xf numFmtId="0" fontId="4" fillId="4" borderId="1" xfId="0"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xf numFmtId="0" fontId="0" fillId="4" borderId="4" xfId="0" applyFill="1" applyBorder="1" applyAlignment="1">
      <alignment horizontal="center"/>
    </xf>
    <xf numFmtId="14" fontId="0" fillId="4" borderId="5" xfId="0" applyNumberFormat="1" applyFill="1" applyBorder="1" applyAlignment="1">
      <alignment horizontal="center"/>
    </xf>
    <xf numFmtId="0" fontId="0" fillId="3" borderId="5" xfId="0" applyFill="1" applyBorder="1" applyAlignment="1">
      <alignment horizontal="center"/>
    </xf>
    <xf numFmtId="0" fontId="0" fillId="4" borderId="6" xfId="0" applyFill="1" applyBorder="1" applyAlignment="1">
      <alignment horizontal="center"/>
    </xf>
    <xf numFmtId="0" fontId="0" fillId="4" borderId="0" xfId="0" applyFill="1" applyAlignment="1">
      <alignment horizontal="center"/>
    </xf>
    <xf numFmtId="0" fontId="0" fillId="4" borderId="7" xfId="0" applyFill="1" applyBorder="1" applyAlignment="1">
      <alignment horizontal="center"/>
    </xf>
    <xf numFmtId="14" fontId="0" fillId="4" borderId="8" xfId="0" applyNumberFormat="1" applyFill="1" applyBorder="1" applyAlignment="1">
      <alignment horizontal="center"/>
    </xf>
    <xf numFmtId="0" fontId="0" fillId="3" borderId="8" xfId="0" applyFill="1" applyBorder="1" applyAlignment="1">
      <alignment horizontal="center"/>
    </xf>
    <xf numFmtId="0" fontId="0" fillId="4" borderId="9" xfId="0" applyFill="1" applyBorder="1" applyAlignment="1">
      <alignment horizontal="center"/>
    </xf>
    <xf numFmtId="164" fontId="0" fillId="4" borderId="8" xfId="0" applyNumberFormat="1" applyFill="1" applyBorder="1" applyAlignment="1">
      <alignment horizontal="center"/>
    </xf>
    <xf numFmtId="0" fontId="0" fillId="4" borderId="6" xfId="0" applyFill="1" applyBorder="1"/>
    <xf numFmtId="0" fontId="0" fillId="4" borderId="9" xfId="0" applyFill="1" applyBorder="1"/>
    <xf numFmtId="0" fontId="0" fillId="3" borderId="0" xfId="0" applyFill="1"/>
    <xf numFmtId="0" fontId="0" fillId="4" borderId="0" xfId="0" applyFill="1"/>
    <xf numFmtId="0" fontId="0" fillId="4" borderId="5" xfId="0" applyFill="1" applyBorder="1" applyAlignment="1">
      <alignment horizontal="center"/>
    </xf>
    <xf numFmtId="0" fontId="0" fillId="4" borderId="8" xfId="0" applyFill="1" applyBorder="1" applyAlignment="1">
      <alignment horizontal="center"/>
    </xf>
    <xf numFmtId="0" fontId="1" fillId="0" borderId="0" xfId="0" applyFont="1" applyAlignment="1">
      <alignment horizontal="center"/>
    </xf>
    <xf numFmtId="0" fontId="3" fillId="0" borderId="0" xfId="0" applyFont="1"/>
    <xf numFmtId="14" fontId="0" fillId="0" borderId="0" xfId="0" applyNumberFormat="1" applyAlignment="1">
      <alignment horizontal="center"/>
    </xf>
    <xf numFmtId="0" fontId="0" fillId="0" borderId="0" xfId="0" applyAlignment="1">
      <alignment horizontal="left"/>
    </xf>
    <xf numFmtId="0" fontId="0" fillId="0" borderId="0" xfId="0" pivotButt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165" fontId="0" fillId="0" borderId="0" xfId="0" applyNumberFormat="1"/>
    <xf numFmtId="0" fontId="7" fillId="0" borderId="0" xfId="0" pivotButton="1" applyFont="1"/>
    <xf numFmtId="0" fontId="7" fillId="0" borderId="0" xfId="0" applyFont="1"/>
    <xf numFmtId="0" fontId="7" fillId="0" borderId="0" xfId="0" applyFont="1" applyAlignment="1">
      <alignment horizontal="left"/>
    </xf>
    <xf numFmtId="165" fontId="7" fillId="0" borderId="0" xfId="0" applyNumberFormat="1" applyFont="1"/>
    <xf numFmtId="0" fontId="8" fillId="0" borderId="0" xfId="0" applyFont="1" applyAlignment="1">
      <alignment horizontal="center" vertical="center"/>
    </xf>
    <xf numFmtId="0" fontId="0" fillId="0" borderId="0" xfId="0" applyAlignment="1">
      <alignment horizontal="left" indent="1"/>
    </xf>
    <xf numFmtId="10" fontId="0" fillId="0" borderId="0" xfId="0" applyNumberFormat="1"/>
    <xf numFmtId="0" fontId="0" fillId="0" borderId="0" xfId="0" applyNumberFormat="1"/>
    <xf numFmtId="0" fontId="7" fillId="0" borderId="0" xfId="0" applyNumberFormat="1" applyFont="1"/>
  </cellXfs>
  <cellStyles count="1">
    <cellStyle name="Normal" xfId="0" builtinId="0"/>
  </cellStyles>
  <dxfs count="71">
    <dxf>
      <font>
        <sz val="16"/>
      </font>
    </dxf>
    <dxf>
      <font>
        <sz val="16"/>
      </font>
    </dxf>
    <dxf>
      <font>
        <sz val="16"/>
      </font>
    </dxf>
    <dxf>
      <font>
        <sz val="16"/>
      </font>
    </dxf>
    <dxf>
      <font>
        <sz val="16"/>
      </font>
    </dxf>
    <dxf>
      <font>
        <sz val="16"/>
      </font>
    </dxf>
    <dxf>
      <numFmt numFmtId="165" formatCode="[Blue]#;[Red]\-#"/>
    </dxf>
    <dxf>
      <fill>
        <patternFill patternType="solid">
          <fgColor rgb="FFE2F4C9"/>
          <bgColor rgb="FFE2F4C9"/>
        </patternFill>
      </fill>
      <alignment horizontal="center" vertical="bottom" textRotation="0" wrapText="0" indent="0" justifyLastLine="0" shrinkToFit="0" readingOrder="0"/>
      <border diagonalUp="0" diagonalDown="0">
        <left style="thin">
          <color rgb="FF000000"/>
        </left>
        <right/>
        <top style="thin">
          <color rgb="FF000000"/>
        </top>
        <bottom style="thin">
          <color rgb="FF000000"/>
        </bottom>
        <vertical/>
        <horizontal/>
      </border>
    </dxf>
    <dxf>
      <fill>
        <patternFill patternType="solid">
          <fgColor rgb="FFE2F4C9"/>
          <bgColor rgb="FFE2F4C9"/>
        </patternFill>
      </fill>
      <alignment horizontal="center" vertical="bottom" textRotation="0" wrapText="0" indent="0" justifyLastLine="0" shrinkToFit="0" readingOrder="0"/>
      <border diagonalUp="0" diagonalDown="0">
        <left style="thin">
          <color rgb="FF000000"/>
        </left>
        <right/>
        <top style="thin">
          <color rgb="FF000000"/>
        </top>
        <bottom style="thin">
          <color rgb="FF000000"/>
        </bottom>
        <vertical/>
        <horizontal/>
      </border>
    </dxf>
    <dxf>
      <fill>
        <patternFill patternType="solid">
          <fgColor rgb="FFC62324"/>
          <bgColor rgb="FFC62324"/>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ill>
        <patternFill patternType="solid">
          <fgColor rgb="FFE2F4C9"/>
          <bgColor rgb="FFE2F4C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ill>
        <patternFill patternType="solid">
          <fgColor rgb="FFE2F4C9"/>
          <bgColor rgb="FFE2F4C9"/>
        </patternFill>
      </fill>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bottom style="thin">
          <color rgb="FF000000"/>
        </bottom>
      </border>
    </dxf>
    <dxf>
      <font>
        <b/>
        <i val="0"/>
        <strike val="0"/>
        <condense val="0"/>
        <extend val="0"/>
        <outline val="0"/>
        <shadow val="0"/>
        <u val="none"/>
        <vertAlign val="baseline"/>
        <sz val="11"/>
        <color auto="1"/>
        <name val="Arial"/>
        <scheme val="none"/>
      </font>
      <fill>
        <patternFill patternType="solid">
          <fgColor rgb="FFE2F4C9"/>
          <bgColor rgb="FFE2F4C9"/>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B1D2FA"/>
          <bgColor rgb="FFB1D2FA"/>
        </patternFill>
      </fill>
    </dxf>
    <dxf>
      <fill>
        <patternFill patternType="solid">
          <fgColor rgb="FF63A6F6"/>
          <bgColor rgb="FF63A6F6"/>
        </patternFill>
      </fill>
    </dxf>
    <dxf>
      <fill>
        <patternFill patternType="solid">
          <fgColor rgb="FF052F61"/>
          <bgColor rgb="FF052F61"/>
        </patternFill>
      </fill>
    </dxf>
    <dxf>
      <fill>
        <patternFill patternType="solid">
          <fgColor rgb="FFB1D2FA"/>
          <bgColor rgb="FFB1D2FA"/>
        </patternFill>
      </fill>
    </dxf>
    <dxf>
      <fill>
        <patternFill patternType="solid">
          <fgColor rgb="FF63A6F6"/>
          <bgColor rgb="FF63A6F6"/>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FFFFFF"/>
          <bgColor rgb="FFFFFFFF"/>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
      <fill>
        <patternFill patternType="solid">
          <fgColor rgb="FFB1D2FA"/>
          <bgColor rgb="FFB1D2FA"/>
        </patternFill>
      </fill>
    </dxf>
    <dxf>
      <fill>
        <patternFill patternType="solid">
          <fgColor rgb="FFB1D2FA"/>
          <bgColor rgb="FFB1D2FA"/>
        </patternFill>
      </fill>
    </dxf>
    <dxf>
      <fill>
        <patternFill patternType="solid">
          <fgColor rgb="FF052F61"/>
          <bgColor rgb="FF052F61"/>
        </patternFill>
      </fill>
    </dxf>
  </dxfs>
  <tableStyles count="14" defaultTableStyle="TableStyleMedium2" defaultPivotStyle="PivotStyleLight16">
    <tableStyle name="Tables-style" pivot="0" count="3" xr9:uid="{60772C0B-C60C-4DB7-9A6F-7743DAFE7131}">
      <tableStyleElement type="headerRow" dxfId="70"/>
      <tableStyleElement type="firstRowStripe" dxfId="69"/>
      <tableStyleElement type="secondRowStripe" dxfId="68"/>
    </tableStyle>
    <tableStyle name="Tables-style 10" pivot="0" count="3" xr9:uid="{461F8EA3-9A02-46BB-9795-B71DB891CD3C}">
      <tableStyleElement type="headerRow" dxfId="67"/>
      <tableStyleElement type="firstRowStripe" dxfId="66"/>
      <tableStyleElement type="secondRowStripe" dxfId="65"/>
    </tableStyle>
    <tableStyle name="Tables-style 11" pivot="0" count="3" xr9:uid="{7CF2CDB4-9B35-4880-8609-433EF3CF4176}">
      <tableStyleElement type="headerRow" dxfId="64"/>
      <tableStyleElement type="firstRowStripe" dxfId="63"/>
      <tableStyleElement type="secondRowStripe" dxfId="62"/>
    </tableStyle>
    <tableStyle name="Tables-style 12" pivot="0" count="3" xr9:uid="{E138E1EB-3D96-443E-B354-0C69541CD82F}">
      <tableStyleElement type="headerRow" dxfId="61"/>
      <tableStyleElement type="firstRowStripe" dxfId="60"/>
      <tableStyleElement type="secondRowStripe" dxfId="59"/>
    </tableStyle>
    <tableStyle name="Tables-style 13" pivot="0" count="3" xr9:uid="{F85D7D36-E200-42AD-8906-595B6A8C2896}">
      <tableStyleElement type="headerRow" dxfId="58"/>
      <tableStyleElement type="firstRowStripe" dxfId="57"/>
      <tableStyleElement type="secondRowStripe" dxfId="56"/>
    </tableStyle>
    <tableStyle name="Tables-style 14" pivot="0" count="3" xr9:uid="{6F610D8E-D912-4DC0-AF6A-A5752AA5179A}">
      <tableStyleElement type="headerRow" dxfId="55"/>
      <tableStyleElement type="firstRowStripe" dxfId="54"/>
      <tableStyleElement type="secondRowStripe" dxfId="53"/>
    </tableStyle>
    <tableStyle name="Tables-style 2" pivot="0" count="3" xr9:uid="{52DD80A1-21DC-46B4-9A97-DEBF1B9BD311}">
      <tableStyleElement type="headerRow" dxfId="52"/>
      <tableStyleElement type="firstRowStripe" dxfId="51"/>
      <tableStyleElement type="secondRowStripe" dxfId="50"/>
    </tableStyle>
    <tableStyle name="Tables-style 3" pivot="0" count="3" xr9:uid="{3E05291C-49ED-4531-B875-87E773BF51C2}">
      <tableStyleElement type="headerRow" dxfId="49"/>
      <tableStyleElement type="firstRowStripe" dxfId="48"/>
      <tableStyleElement type="secondRowStripe" dxfId="47"/>
    </tableStyle>
    <tableStyle name="Tables-style 4" pivot="0" count="3" xr9:uid="{5B25FB80-DACD-4252-A5A6-8F5D88A332FA}">
      <tableStyleElement type="headerRow" dxfId="46"/>
      <tableStyleElement type="firstRowStripe" dxfId="45"/>
      <tableStyleElement type="secondRowStripe" dxfId="44"/>
    </tableStyle>
    <tableStyle name="Tables-style 5" pivot="0" count="3" xr9:uid="{FD2C310D-D063-45B8-96B8-519345CF3B3A}">
      <tableStyleElement type="headerRow" dxfId="43"/>
      <tableStyleElement type="firstRowStripe" dxfId="42"/>
      <tableStyleElement type="secondRowStripe" dxfId="41"/>
    </tableStyle>
    <tableStyle name="Tables-style 6" pivot="0" count="3" xr9:uid="{9C64E8F6-8248-4A9C-992F-B7140BF8CB08}">
      <tableStyleElement type="headerRow" dxfId="40"/>
      <tableStyleElement type="firstRowStripe" dxfId="39"/>
      <tableStyleElement type="secondRowStripe" dxfId="38"/>
    </tableStyle>
    <tableStyle name="Tables-style 7" pivot="0" count="3" xr9:uid="{0586F3FA-9193-4390-911E-D6ED827C524B}">
      <tableStyleElement type="headerRow" dxfId="37"/>
      <tableStyleElement type="firstRowStripe" dxfId="36"/>
      <tableStyleElement type="secondRowStripe" dxfId="35"/>
    </tableStyle>
    <tableStyle name="Tables-style 8" pivot="0" count="3" xr9:uid="{A748BFDF-5F65-46DF-8840-2145380AF9B6}">
      <tableStyleElement type="headerRow" dxfId="34"/>
      <tableStyleElement type="firstRowStripe" dxfId="33"/>
      <tableStyleElement type="secondRowStripe" dxfId="32"/>
    </tableStyle>
    <tableStyle name="Tables-style 9" pivot="0" count="3" xr9:uid="{EB3291AB-A2C3-4726-948A-4BCE48C1EA1B}">
      <tableStyleElement type="headerRow" dxfId="31"/>
      <tableStyleElement type="firstRowStripe" dxfId="30"/>
      <tableStyleElement type="secondRowStripe" dxfId="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alcChain" Target="calcChain.xml"/><Relationship Id="rId26" Type="http://schemas.openxmlformats.org/officeDocument/2006/relationships/customXml" Target="../customXml/item8.xml"/><Relationship Id="rId39" Type="http://schemas.openxmlformats.org/officeDocument/2006/relationships/customXml" Target="../customXml/item21.xml"/><Relationship Id="rId21" Type="http://schemas.openxmlformats.org/officeDocument/2006/relationships/customXml" Target="../customXml/item3.xml"/><Relationship Id="rId34" Type="http://schemas.openxmlformats.org/officeDocument/2006/relationships/customXml" Target="../customXml/item16.xml"/><Relationship Id="rId42" Type="http://schemas.openxmlformats.org/officeDocument/2006/relationships/customXml" Target="../customXml/item24.xml"/><Relationship Id="rId47" Type="http://schemas.openxmlformats.org/officeDocument/2006/relationships/customXml" Target="../customXml/item29.xml"/><Relationship Id="rId50"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sharedStrings" Target="sharedStrings.xml"/><Relationship Id="rId29" Type="http://schemas.openxmlformats.org/officeDocument/2006/relationships/customXml" Target="../customXml/item11.xml"/><Relationship Id="rId11" Type="http://schemas.openxmlformats.org/officeDocument/2006/relationships/pivotCacheDefinition" Target="pivotCache/pivotCacheDefinition8.xml"/><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40" Type="http://schemas.openxmlformats.org/officeDocument/2006/relationships/customXml" Target="../customXml/item22.xml"/><Relationship Id="rId45" Type="http://schemas.openxmlformats.org/officeDocument/2006/relationships/customXml" Target="../customXml/item27.xml"/><Relationship Id="rId5" Type="http://schemas.openxmlformats.org/officeDocument/2006/relationships/pivotCacheDefinition" Target="pivotCache/pivotCacheDefinition2.xml"/><Relationship Id="rId15" Type="http://schemas.openxmlformats.org/officeDocument/2006/relationships/styles" Target="styles.xml"/><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49" Type="http://schemas.openxmlformats.org/officeDocument/2006/relationships/customXml" Target="../customXml/item31.xml"/><Relationship Id="rId10" Type="http://schemas.openxmlformats.org/officeDocument/2006/relationships/pivotCacheDefinition" Target="pivotCache/pivotCacheDefinition7.xml"/><Relationship Id="rId19" Type="http://schemas.openxmlformats.org/officeDocument/2006/relationships/customXml" Target="../customXml/item1.xml"/><Relationship Id="rId31" Type="http://schemas.openxmlformats.org/officeDocument/2006/relationships/customXml" Target="../customXml/item13.xml"/><Relationship Id="rId44" Type="http://schemas.openxmlformats.org/officeDocument/2006/relationships/customXml" Target="../customXml/item26.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connections" Target="connection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43" Type="http://schemas.openxmlformats.org/officeDocument/2006/relationships/customXml" Target="../customXml/item25.xml"/><Relationship Id="rId48" Type="http://schemas.openxmlformats.org/officeDocument/2006/relationships/customXml" Target="../customXml/item30.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38" Type="http://schemas.openxmlformats.org/officeDocument/2006/relationships/customXml" Target="../customXml/item20.xml"/><Relationship Id="rId46" Type="http://schemas.openxmlformats.org/officeDocument/2006/relationships/customXml" Target="../customXml/item28.xml"/><Relationship Id="rId20" Type="http://schemas.openxmlformats.org/officeDocument/2006/relationships/customXml" Target="../customXml/item2.xml"/><Relationship Id="rId41"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[macro.xlsm]sheet 2!PivotTable1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Course</a:t>
            </a:r>
            <a:r>
              <a:rPr lang="en-US" baseline="0"/>
              <a:t> Wise Students</a:t>
            </a:r>
            <a:endParaRPr lang="en-US"/>
          </a:p>
        </c:rich>
      </c:tx>
      <c:layout>
        <c:manualLayout>
          <c:xMode val="edge"/>
          <c:yMode val="edge"/>
          <c:x val="0.30567344706911637"/>
          <c:y val="0.136054421768707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 2'!$B$1</c:f>
              <c:strCache>
                <c:ptCount val="1"/>
                <c:pt idx="0">
                  <c:v>Total</c:v>
                </c:pt>
              </c:strCache>
            </c:strRef>
          </c:tx>
          <c:spPr>
            <a:solidFill>
              <a:schemeClr val="accent1"/>
            </a:solidFill>
            <a:ln>
              <a:noFill/>
            </a:ln>
            <a:effectLst/>
          </c:spPr>
          <c:invertIfNegative val="0"/>
          <c:cat>
            <c:strRef>
              <c:f>'sheet 2'!$A$2:$A$6</c:f>
              <c:strCache>
                <c:ptCount val="4"/>
                <c:pt idx="0">
                  <c:v>Advance Excel</c:v>
                </c:pt>
                <c:pt idx="1">
                  <c:v>Data Analysis</c:v>
                </c:pt>
                <c:pt idx="2">
                  <c:v>Digital Marketing</c:v>
                </c:pt>
                <c:pt idx="3">
                  <c:v>Full Stack Developer</c:v>
                </c:pt>
              </c:strCache>
            </c:strRef>
          </c:cat>
          <c:val>
            <c:numRef>
              <c:f>'sheet 2'!$B$2:$B$6</c:f>
              <c:numCache>
                <c:formatCode>General</c:formatCode>
                <c:ptCount val="4"/>
                <c:pt idx="0">
                  <c:v>3</c:v>
                </c:pt>
                <c:pt idx="1">
                  <c:v>3</c:v>
                </c:pt>
                <c:pt idx="2">
                  <c:v>1</c:v>
                </c:pt>
                <c:pt idx="3">
                  <c:v>4</c:v>
                </c:pt>
              </c:numCache>
            </c:numRef>
          </c:val>
          <c:extLst>
            <c:ext xmlns:c16="http://schemas.microsoft.com/office/drawing/2014/chart" uri="{C3380CC4-5D6E-409C-BE32-E72D297353CC}">
              <c16:uniqueId val="{00000000-F633-4EA5-98AC-719A7DA19178}"/>
            </c:ext>
          </c:extLst>
        </c:ser>
        <c:dLbls>
          <c:showLegendKey val="0"/>
          <c:showVal val="0"/>
          <c:showCatName val="0"/>
          <c:showSerName val="0"/>
          <c:showPercent val="0"/>
          <c:showBubbleSize val="0"/>
        </c:dLbls>
        <c:gapWidth val="219"/>
        <c:overlap val="-27"/>
        <c:axId val="1874029503"/>
        <c:axId val="1874021343"/>
      </c:barChart>
      <c:catAx>
        <c:axId val="187402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021343"/>
        <c:crosses val="autoZero"/>
        <c:auto val="1"/>
        <c:lblAlgn val="ctr"/>
        <c:lblOffset val="100"/>
        <c:noMultiLvlLbl val="0"/>
      </c:catAx>
      <c:valAx>
        <c:axId val="18740213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029503"/>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692038495188102E-2"/>
          <c:y val="5.5260070425933706E-2"/>
          <c:w val="0.90286351706036749"/>
          <c:h val="0.71328369816055559"/>
        </c:manualLayout>
      </c:layout>
      <c:barChart>
        <c:barDir val="col"/>
        <c:grouping val="clustered"/>
        <c:varyColors val="0"/>
        <c:ser>
          <c:idx val="0"/>
          <c:order val="0"/>
          <c:tx>
            <c:strRef>
              <c:f>'sheet 2'!$O$25</c:f>
              <c:strCache>
                <c:ptCount val="1"/>
                <c:pt idx="0">
                  <c:v>Projected</c:v>
                </c:pt>
              </c:strCache>
            </c:strRef>
          </c:tx>
          <c:spPr>
            <a:solidFill>
              <a:schemeClr val="accent1"/>
            </a:solidFill>
            <a:ln>
              <a:noFill/>
            </a:ln>
            <a:effectLst/>
          </c:spPr>
          <c:invertIfNegative val="0"/>
          <c:cat>
            <c:strRef>
              <c:f>'sheet 2'!$N$26:$N$28</c:f>
              <c:strCache>
                <c:ptCount val="3"/>
                <c:pt idx="0">
                  <c:v>test 1</c:v>
                </c:pt>
                <c:pt idx="1">
                  <c:v>test 2</c:v>
                </c:pt>
                <c:pt idx="2">
                  <c:v>test 3</c:v>
                </c:pt>
              </c:strCache>
            </c:strRef>
          </c:cat>
          <c:val>
            <c:numRef>
              <c:f>'sheet 2'!$O$26:$O$28</c:f>
              <c:numCache>
                <c:formatCode>General</c:formatCode>
                <c:ptCount val="3"/>
                <c:pt idx="0">
                  <c:v>80</c:v>
                </c:pt>
                <c:pt idx="1">
                  <c:v>70</c:v>
                </c:pt>
                <c:pt idx="2">
                  <c:v>60</c:v>
                </c:pt>
              </c:numCache>
            </c:numRef>
          </c:val>
          <c:extLst>
            <c:ext xmlns:c16="http://schemas.microsoft.com/office/drawing/2014/chart" uri="{C3380CC4-5D6E-409C-BE32-E72D297353CC}">
              <c16:uniqueId val="{00000000-1007-43E0-B5E9-70BC2A65EFA5}"/>
            </c:ext>
          </c:extLst>
        </c:ser>
        <c:ser>
          <c:idx val="1"/>
          <c:order val="1"/>
          <c:tx>
            <c:strRef>
              <c:f>'sheet 2'!$P$25</c:f>
              <c:strCache>
                <c:ptCount val="1"/>
                <c:pt idx="0">
                  <c:v>Actual</c:v>
                </c:pt>
              </c:strCache>
            </c:strRef>
          </c:tx>
          <c:spPr>
            <a:solidFill>
              <a:schemeClr val="accent2"/>
            </a:solidFill>
            <a:ln>
              <a:noFill/>
            </a:ln>
            <a:effectLst/>
          </c:spPr>
          <c:invertIfNegative val="0"/>
          <c:cat>
            <c:strRef>
              <c:f>'sheet 2'!$N$26:$N$28</c:f>
              <c:strCache>
                <c:ptCount val="3"/>
                <c:pt idx="0">
                  <c:v>test 1</c:v>
                </c:pt>
                <c:pt idx="1">
                  <c:v>test 2</c:v>
                </c:pt>
                <c:pt idx="2">
                  <c:v>test 3</c:v>
                </c:pt>
              </c:strCache>
            </c:strRef>
          </c:cat>
          <c:val>
            <c:numRef>
              <c:f>'sheet 2'!$P$26:$P$28</c:f>
              <c:numCache>
                <c:formatCode>General</c:formatCode>
                <c:ptCount val="3"/>
                <c:pt idx="0">
                  <c:v>10</c:v>
                </c:pt>
                <c:pt idx="1">
                  <c:v>74</c:v>
                </c:pt>
                <c:pt idx="2">
                  <c:v>60</c:v>
                </c:pt>
              </c:numCache>
            </c:numRef>
          </c:val>
          <c:extLst>
            <c:ext xmlns:c16="http://schemas.microsoft.com/office/drawing/2014/chart" uri="{C3380CC4-5D6E-409C-BE32-E72D297353CC}">
              <c16:uniqueId val="{00000001-1007-43E0-B5E9-70BC2A65EFA5}"/>
            </c:ext>
          </c:extLst>
        </c:ser>
        <c:dLbls>
          <c:showLegendKey val="0"/>
          <c:showVal val="0"/>
          <c:showCatName val="0"/>
          <c:showSerName val="0"/>
          <c:showPercent val="0"/>
          <c:showBubbleSize val="0"/>
        </c:dLbls>
        <c:gapWidth val="219"/>
        <c:overlap val="-27"/>
        <c:axId val="129136688"/>
        <c:axId val="129361744"/>
      </c:barChart>
      <c:catAx>
        <c:axId val="12913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61744"/>
        <c:crosses val="autoZero"/>
        <c:auto val="1"/>
        <c:lblAlgn val="ctr"/>
        <c:lblOffset val="100"/>
        <c:noMultiLvlLbl val="0"/>
      </c:catAx>
      <c:valAx>
        <c:axId val="129361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[macro.xlsm]sheet 2!PivotTable4</c:name>
    <c:fmtId val="3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96981625905891"/>
          <c:y val="0.24018899175816275"/>
          <c:w val="0.86486351706036746"/>
          <c:h val="0.62691394057487271"/>
        </c:manualLayout>
      </c:layout>
      <c:barChart>
        <c:barDir val="col"/>
        <c:grouping val="clustered"/>
        <c:varyColors val="0"/>
        <c:ser>
          <c:idx val="0"/>
          <c:order val="0"/>
          <c:tx>
            <c:strRef>
              <c:f>'sheet 2'!$B$27</c:f>
              <c:strCache>
                <c:ptCount val="1"/>
                <c:pt idx="0">
                  <c:v>Total</c:v>
                </c:pt>
              </c:strCache>
            </c:strRef>
          </c:tx>
          <c:spPr>
            <a:solidFill>
              <a:schemeClr val="accent1"/>
            </a:solidFill>
            <a:ln>
              <a:noFill/>
            </a:ln>
            <a:effectLst/>
          </c:spPr>
          <c:invertIfNegative val="0"/>
          <c:cat>
            <c:multiLvlStrRef>
              <c:f>'sheet 2'!$A$28:$A$30</c:f>
              <c:multiLvlStrCache>
                <c:ptCount val="2"/>
                <c:lvl>
                  <c:pt idx="0">
                    <c:v>November</c:v>
                  </c:pt>
                  <c:pt idx="1">
                    <c:v>December</c:v>
                  </c:pt>
                </c:lvl>
                <c:lvl>
                  <c:pt idx="0">
                    <c:v>2024</c:v>
                  </c:pt>
                </c:lvl>
              </c:multiLvlStrCache>
            </c:multiLvlStrRef>
          </c:cat>
          <c:val>
            <c:numRef>
              <c:f>'sheet 2'!$B$28:$B$30</c:f>
              <c:numCache>
                <c:formatCode>General</c:formatCode>
                <c:ptCount val="2"/>
                <c:pt idx="0">
                  <c:v>8250</c:v>
                </c:pt>
                <c:pt idx="1">
                  <c:v>20880</c:v>
                </c:pt>
              </c:numCache>
            </c:numRef>
          </c:val>
          <c:extLst>
            <c:ext xmlns:c16="http://schemas.microsoft.com/office/drawing/2014/chart" uri="{C3380CC4-5D6E-409C-BE32-E72D297353CC}">
              <c16:uniqueId val="{00000003-8A5E-4408-A1E1-B12F6CDAB6AF}"/>
            </c:ext>
          </c:extLst>
        </c:ser>
        <c:dLbls>
          <c:showLegendKey val="0"/>
          <c:showVal val="0"/>
          <c:showCatName val="0"/>
          <c:showSerName val="0"/>
          <c:showPercent val="0"/>
          <c:showBubbleSize val="0"/>
        </c:dLbls>
        <c:gapWidth val="219"/>
        <c:axId val="159927567"/>
        <c:axId val="159906447"/>
      </c:barChart>
      <c:catAx>
        <c:axId val="159927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06447"/>
        <c:crosses val="autoZero"/>
        <c:auto val="1"/>
        <c:lblAlgn val="ctr"/>
        <c:lblOffset val="100"/>
        <c:noMultiLvlLbl val="0"/>
      </c:catAx>
      <c:valAx>
        <c:axId val="1599064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2756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P$9" fmlaRange="$M$11:$M$21" noThreeD="1" sel="6" val="0"/>
</file>

<file path=xl/ctrlProps/ctrlProp2.xml><?xml version="1.0" encoding="utf-8"?>
<formControlPr xmlns="http://schemas.microsoft.com/office/spreadsheetml/2009/9/main" objectType="List" dx="26" fmlaLink="'sheet 2'!$P$9" fmlaRange="'sheet 2'!$M$11:$M$21" noThreeD="1" sel="6" val="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685800</xdr:colOff>
          <xdr:row>7</xdr:row>
          <xdr:rowOff>175260</xdr:rowOff>
        </xdr:from>
        <xdr:to>
          <xdr:col>20</xdr:col>
          <xdr:colOff>175260</xdr:colOff>
          <xdr:row>17</xdr:row>
          <xdr:rowOff>60960</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197223</xdr:colOff>
      <xdr:row>7</xdr:row>
      <xdr:rowOff>17930</xdr:rowOff>
    </xdr:from>
    <xdr:to>
      <xdr:col>7</xdr:col>
      <xdr:colOff>376517</xdr:colOff>
      <xdr:row>20</xdr:row>
      <xdr:rowOff>94578</xdr:rowOff>
    </xdr:to>
    <xdr:graphicFrame macro="">
      <xdr:nvGraphicFramePr>
        <xdr:cNvPr id="2" name="Chart 1">
          <a:extLst>
            <a:ext uri="{FF2B5EF4-FFF2-40B4-BE49-F238E27FC236}">
              <a16:creationId xmlns:a16="http://schemas.microsoft.com/office/drawing/2014/main" id="{66E1EAFA-0B40-486B-B54C-9EA3E2EC5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134472</xdr:colOff>
      <xdr:row>0</xdr:row>
      <xdr:rowOff>140746</xdr:rowOff>
    </xdr:from>
    <xdr:to>
      <xdr:col>20</xdr:col>
      <xdr:colOff>242047</xdr:colOff>
      <xdr:row>3</xdr:row>
      <xdr:rowOff>175260</xdr:rowOff>
    </xdr:to>
    <xdr:sp macro="" textlink="">
      <xdr:nvSpPr>
        <xdr:cNvPr id="3" name="Rectangle: Rounded Corners 2">
          <a:extLst>
            <a:ext uri="{FF2B5EF4-FFF2-40B4-BE49-F238E27FC236}">
              <a16:creationId xmlns:a16="http://schemas.microsoft.com/office/drawing/2014/main" id="{C09F748F-5A8E-33A7-C2C3-FD818AAC062B}"/>
            </a:ext>
          </a:extLst>
        </xdr:cNvPr>
        <xdr:cNvSpPr/>
      </xdr:nvSpPr>
      <xdr:spPr>
        <a:xfrm>
          <a:off x="134472" y="140746"/>
          <a:ext cx="16396446" cy="57239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198120</xdr:colOff>
      <xdr:row>1</xdr:row>
      <xdr:rowOff>38100</xdr:rowOff>
    </xdr:from>
    <xdr:to>
      <xdr:col>15</xdr:col>
      <xdr:colOff>381000</xdr:colOff>
      <xdr:row>4</xdr:row>
      <xdr:rowOff>0</xdr:rowOff>
    </xdr:to>
    <xdr:sp macro="" textlink="">
      <xdr:nvSpPr>
        <xdr:cNvPr id="4" name="TextBox 3">
          <a:extLst>
            <a:ext uri="{FF2B5EF4-FFF2-40B4-BE49-F238E27FC236}">
              <a16:creationId xmlns:a16="http://schemas.microsoft.com/office/drawing/2014/main" id="{514EE038-2BCE-7784-EA19-8212C8D36920}"/>
            </a:ext>
          </a:extLst>
        </xdr:cNvPr>
        <xdr:cNvSpPr txBox="1"/>
      </xdr:nvSpPr>
      <xdr:spPr>
        <a:xfrm>
          <a:off x="2215179" y="217394"/>
          <a:ext cx="9174480" cy="499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kern="1200">
              <a:solidFill>
                <a:schemeClr val="bg1"/>
              </a:solidFill>
            </a:rPr>
            <a:t>                                                                           </a:t>
          </a:r>
          <a:r>
            <a:rPr lang="en-IN" sz="3200" kern="1200">
              <a:solidFill>
                <a:schemeClr val="bg1"/>
              </a:solidFill>
            </a:rPr>
            <a:t>Brilliant Makers</a:t>
          </a:r>
          <a:r>
            <a:rPr lang="en-IN" sz="3200" kern="1200" baseline="0">
              <a:solidFill>
                <a:schemeClr val="bg1"/>
              </a:solidFill>
            </a:rPr>
            <a:t> Dashboard</a:t>
          </a:r>
          <a:endParaRPr lang="en-IN" sz="1200" kern="1200">
            <a:solidFill>
              <a:schemeClr val="bg1"/>
            </a:solidFill>
          </a:endParaRPr>
        </a:p>
      </xdr:txBody>
    </xdr:sp>
    <xdr:clientData/>
  </xdr:twoCellAnchor>
  <xdr:twoCellAnchor>
    <xdr:from>
      <xdr:col>0</xdr:col>
      <xdr:colOff>98612</xdr:colOff>
      <xdr:row>24</xdr:row>
      <xdr:rowOff>71717</xdr:rowOff>
    </xdr:from>
    <xdr:to>
      <xdr:col>7</xdr:col>
      <xdr:colOff>215153</xdr:colOff>
      <xdr:row>38</xdr:row>
      <xdr:rowOff>62752</xdr:rowOff>
    </xdr:to>
    <xdr:graphicFrame macro="">
      <xdr:nvGraphicFramePr>
        <xdr:cNvPr id="5" name="Chart 4">
          <a:extLst>
            <a:ext uri="{FF2B5EF4-FFF2-40B4-BE49-F238E27FC236}">
              <a16:creationId xmlns:a16="http://schemas.microsoft.com/office/drawing/2014/main" id="{F654DA29-6934-452C-BCF4-BC4229D65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91440</xdr:colOff>
          <xdr:row>26</xdr:row>
          <xdr:rowOff>129540</xdr:rowOff>
        </xdr:from>
        <xdr:to>
          <xdr:col>8</xdr:col>
          <xdr:colOff>335280</xdr:colOff>
          <xdr:row>31</xdr:row>
          <xdr:rowOff>152400</xdr:rowOff>
        </xdr:to>
        <xdr:sp macro="" textlink="">
          <xdr:nvSpPr>
            <xdr:cNvPr id="4100" name="List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403412</xdr:colOff>
      <xdr:row>22</xdr:row>
      <xdr:rowOff>170329</xdr:rowOff>
    </xdr:from>
    <xdr:to>
      <xdr:col>4</xdr:col>
      <xdr:colOff>502024</xdr:colOff>
      <xdr:row>24</xdr:row>
      <xdr:rowOff>62754</xdr:rowOff>
    </xdr:to>
    <xdr:sp macro="" textlink="'sheet 2'!P11">
      <xdr:nvSpPr>
        <xdr:cNvPr id="6" name="TextBox 5">
          <a:extLst>
            <a:ext uri="{FF2B5EF4-FFF2-40B4-BE49-F238E27FC236}">
              <a16:creationId xmlns:a16="http://schemas.microsoft.com/office/drawing/2014/main" id="{C876086A-6CCD-43C6-EDC2-9C8F1B44D0DD}"/>
            </a:ext>
          </a:extLst>
        </xdr:cNvPr>
        <xdr:cNvSpPr txBox="1"/>
      </xdr:nvSpPr>
      <xdr:spPr>
        <a:xfrm>
          <a:off x="1810871" y="4831976"/>
          <a:ext cx="1317812" cy="251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1D9C5F-CDC4-4108-817A-549A2ACDEEEE}" type="TxLink">
            <a:rPr lang="en-US" sz="1100" b="0" i="0" u="none" strike="noStrike" kern="1200">
              <a:solidFill>
                <a:srgbClr val="000000"/>
              </a:solidFill>
              <a:latin typeface="Calibri"/>
              <a:ea typeface="Calibri"/>
              <a:cs typeface="Calibri"/>
            </a:rPr>
            <a:pPr/>
            <a:t>Marks of Sudhir</a:t>
          </a:fld>
          <a:endParaRPr lang="en-IN" sz="1100" kern="1200"/>
        </a:p>
      </xdr:txBody>
    </xdr:sp>
    <xdr:clientData/>
  </xdr:twoCellAnchor>
  <xdr:twoCellAnchor>
    <xdr:from>
      <xdr:col>7</xdr:col>
      <xdr:colOff>510988</xdr:colOff>
      <xdr:row>6</xdr:row>
      <xdr:rowOff>26894</xdr:rowOff>
    </xdr:from>
    <xdr:to>
      <xdr:col>11</xdr:col>
      <xdr:colOff>0</xdr:colOff>
      <xdr:row>9</xdr:row>
      <xdr:rowOff>53789</xdr:rowOff>
    </xdr:to>
    <xdr:sp macro="" textlink="">
      <xdr:nvSpPr>
        <xdr:cNvPr id="8" name="Rectangle: Rounded Corners 7">
          <a:extLst>
            <a:ext uri="{FF2B5EF4-FFF2-40B4-BE49-F238E27FC236}">
              <a16:creationId xmlns:a16="http://schemas.microsoft.com/office/drawing/2014/main" id="{BDBBF8F7-19F3-B04C-F596-3A39CF0F7B0D}"/>
            </a:ext>
          </a:extLst>
        </xdr:cNvPr>
        <xdr:cNvSpPr/>
      </xdr:nvSpPr>
      <xdr:spPr>
        <a:xfrm>
          <a:off x="4966447" y="1102659"/>
          <a:ext cx="1927412" cy="833718"/>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313765</xdr:colOff>
      <xdr:row>7</xdr:row>
      <xdr:rowOff>251012</xdr:rowOff>
    </xdr:from>
    <xdr:to>
      <xdr:col>10</xdr:col>
      <xdr:colOff>215153</xdr:colOff>
      <xdr:row>8</xdr:row>
      <xdr:rowOff>206188</xdr:rowOff>
    </xdr:to>
    <xdr:sp macro="" textlink="'sheet 2'!B22">
      <xdr:nvSpPr>
        <xdr:cNvPr id="9" name="TextBox 8">
          <a:extLst>
            <a:ext uri="{FF2B5EF4-FFF2-40B4-BE49-F238E27FC236}">
              <a16:creationId xmlns:a16="http://schemas.microsoft.com/office/drawing/2014/main" id="{3F72D8C3-8A01-F907-0AAC-05DCD89F0649}"/>
            </a:ext>
          </a:extLst>
        </xdr:cNvPr>
        <xdr:cNvSpPr txBox="1"/>
      </xdr:nvSpPr>
      <xdr:spPr>
        <a:xfrm>
          <a:off x="5378824" y="1595718"/>
          <a:ext cx="1120588" cy="224117"/>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6755BD2-53CA-4339-9636-C3AD459D90DD}" type="TxLink">
            <a:rPr lang="en-US" sz="1100" kern="1200">
              <a:solidFill>
                <a:schemeClr val="lt1"/>
              </a:solidFill>
              <a:latin typeface="+mn-lt"/>
              <a:ea typeface="+mn-ea"/>
              <a:cs typeface="+mn-cs"/>
            </a:rPr>
            <a:pPr marL="0" indent="0" algn="ctr"/>
            <a:t>20880</a:t>
          </a:fld>
          <a:endParaRPr lang="en-IN" sz="1100" kern="1200">
            <a:solidFill>
              <a:schemeClr val="lt1"/>
            </a:solidFill>
            <a:latin typeface="+mn-lt"/>
            <a:ea typeface="+mn-ea"/>
            <a:cs typeface="+mn-cs"/>
          </a:endParaRPr>
        </a:p>
      </xdr:txBody>
    </xdr:sp>
    <xdr:clientData/>
  </xdr:twoCellAnchor>
  <xdr:twoCellAnchor>
    <xdr:from>
      <xdr:col>8</xdr:col>
      <xdr:colOff>268940</xdr:colOff>
      <xdr:row>6</xdr:row>
      <xdr:rowOff>116541</xdr:rowOff>
    </xdr:from>
    <xdr:to>
      <xdr:col>10</xdr:col>
      <xdr:colOff>367552</xdr:colOff>
      <xdr:row>7</xdr:row>
      <xdr:rowOff>107576</xdr:rowOff>
    </xdr:to>
    <xdr:sp macro="" textlink="">
      <xdr:nvSpPr>
        <xdr:cNvPr id="7" name="TextBox 6">
          <a:extLst>
            <a:ext uri="{FF2B5EF4-FFF2-40B4-BE49-F238E27FC236}">
              <a16:creationId xmlns:a16="http://schemas.microsoft.com/office/drawing/2014/main" id="{DA8EEA12-9A75-8944-33A9-C69D678C5F6B}"/>
            </a:ext>
          </a:extLst>
        </xdr:cNvPr>
        <xdr:cNvSpPr txBox="1"/>
      </xdr:nvSpPr>
      <xdr:spPr>
        <a:xfrm>
          <a:off x="5333999" y="1192306"/>
          <a:ext cx="1317812" cy="259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December 2024</a:t>
          </a:r>
        </a:p>
      </xdr:txBody>
    </xdr:sp>
    <xdr:clientData/>
  </xdr:twoCellAnchor>
  <xdr:twoCellAnchor>
    <xdr:from>
      <xdr:col>12</xdr:col>
      <xdr:colOff>1371600</xdr:colOff>
      <xdr:row>6</xdr:row>
      <xdr:rowOff>26894</xdr:rowOff>
    </xdr:from>
    <xdr:to>
      <xdr:col>14</xdr:col>
      <xdr:colOff>681318</xdr:colOff>
      <xdr:row>9</xdr:row>
      <xdr:rowOff>53789</xdr:rowOff>
    </xdr:to>
    <xdr:sp macro="" textlink="">
      <xdr:nvSpPr>
        <xdr:cNvPr id="10" name="Rectangle: Rounded Corners 9">
          <a:extLst>
            <a:ext uri="{FF2B5EF4-FFF2-40B4-BE49-F238E27FC236}">
              <a16:creationId xmlns:a16="http://schemas.microsoft.com/office/drawing/2014/main" id="{FC046D02-032E-480B-B951-A353B8018E30}"/>
            </a:ext>
          </a:extLst>
        </xdr:cNvPr>
        <xdr:cNvSpPr/>
      </xdr:nvSpPr>
      <xdr:spPr>
        <a:xfrm>
          <a:off x="8875059" y="1102659"/>
          <a:ext cx="1927412" cy="833718"/>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35858</xdr:colOff>
      <xdr:row>6</xdr:row>
      <xdr:rowOff>26894</xdr:rowOff>
    </xdr:from>
    <xdr:to>
      <xdr:col>12</xdr:col>
      <xdr:colOff>1353670</xdr:colOff>
      <xdr:row>9</xdr:row>
      <xdr:rowOff>53789</xdr:rowOff>
    </xdr:to>
    <xdr:sp macro="" textlink="">
      <xdr:nvSpPr>
        <xdr:cNvPr id="11" name="Rectangle: Rounded Corners 10">
          <a:extLst>
            <a:ext uri="{FF2B5EF4-FFF2-40B4-BE49-F238E27FC236}">
              <a16:creationId xmlns:a16="http://schemas.microsoft.com/office/drawing/2014/main" id="{41D97D70-79F7-448F-86D0-1CF2D45E0509}"/>
            </a:ext>
          </a:extLst>
        </xdr:cNvPr>
        <xdr:cNvSpPr/>
      </xdr:nvSpPr>
      <xdr:spPr>
        <a:xfrm>
          <a:off x="6929717" y="1102659"/>
          <a:ext cx="1927412" cy="833718"/>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12</xdr:col>
      <xdr:colOff>1694331</xdr:colOff>
      <xdr:row>6</xdr:row>
      <xdr:rowOff>116541</xdr:rowOff>
    </xdr:from>
    <xdr:to>
      <xdr:col>14</xdr:col>
      <xdr:colOff>457201</xdr:colOff>
      <xdr:row>7</xdr:row>
      <xdr:rowOff>143435</xdr:rowOff>
    </xdr:to>
    <xdr:sp macro="" textlink="">
      <xdr:nvSpPr>
        <xdr:cNvPr id="12" name="TextBox 11">
          <a:extLst>
            <a:ext uri="{FF2B5EF4-FFF2-40B4-BE49-F238E27FC236}">
              <a16:creationId xmlns:a16="http://schemas.microsoft.com/office/drawing/2014/main" id="{100005D2-2A66-ECDB-780D-AEF7C85BCF6B}"/>
            </a:ext>
          </a:extLst>
        </xdr:cNvPr>
        <xdr:cNvSpPr txBox="1"/>
      </xdr:nvSpPr>
      <xdr:spPr>
        <a:xfrm>
          <a:off x="9197790" y="1192306"/>
          <a:ext cx="1380564" cy="295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latin typeface="+mn-lt"/>
              <a:ea typeface="+mn-ea"/>
              <a:cs typeface="+mn-cs"/>
            </a:rPr>
            <a:t>Previous</a:t>
          </a:r>
          <a:r>
            <a:rPr lang="en-IN" sz="1100" kern="1200" baseline="0">
              <a:solidFill>
                <a:schemeClr val="bg1"/>
              </a:solidFill>
            </a:rPr>
            <a:t> month</a:t>
          </a:r>
          <a:endParaRPr lang="en-IN" sz="1100" kern="1200">
            <a:solidFill>
              <a:schemeClr val="bg1"/>
            </a:solidFill>
          </a:endParaRPr>
        </a:p>
      </xdr:txBody>
    </xdr:sp>
    <xdr:clientData/>
  </xdr:twoCellAnchor>
  <xdr:twoCellAnchor>
    <xdr:from>
      <xdr:col>11</xdr:col>
      <xdr:colOff>251011</xdr:colOff>
      <xdr:row>6</xdr:row>
      <xdr:rowOff>116541</xdr:rowOff>
    </xdr:from>
    <xdr:to>
      <xdr:col>12</xdr:col>
      <xdr:colOff>1111623</xdr:colOff>
      <xdr:row>7</xdr:row>
      <xdr:rowOff>116541</xdr:rowOff>
    </xdr:to>
    <xdr:sp macro="" textlink="">
      <xdr:nvSpPr>
        <xdr:cNvPr id="14" name="TextBox 13">
          <a:extLst>
            <a:ext uri="{FF2B5EF4-FFF2-40B4-BE49-F238E27FC236}">
              <a16:creationId xmlns:a16="http://schemas.microsoft.com/office/drawing/2014/main" id="{3F1C46D1-9F4B-7F31-B3E7-9DEDECF19B44}"/>
            </a:ext>
          </a:extLst>
        </xdr:cNvPr>
        <xdr:cNvSpPr txBox="1"/>
      </xdr:nvSpPr>
      <xdr:spPr>
        <a:xfrm>
          <a:off x="7144870" y="1192306"/>
          <a:ext cx="1470212" cy="26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increased</a:t>
          </a:r>
          <a:r>
            <a:rPr lang="en-IN" sz="1100" kern="1200">
              <a:solidFill>
                <a:schemeClr val="bg1"/>
              </a:solidFill>
            </a:rPr>
            <a:t>/</a:t>
          </a:r>
          <a:r>
            <a:rPr lang="en-IN" sz="1200" kern="1200">
              <a:solidFill>
                <a:schemeClr val="bg1"/>
              </a:solidFill>
            </a:rPr>
            <a:t>decreased</a:t>
          </a:r>
          <a:endParaRPr lang="en-IN" sz="1100" kern="1200">
            <a:solidFill>
              <a:schemeClr val="bg1"/>
            </a:solidFill>
          </a:endParaRPr>
        </a:p>
      </xdr:txBody>
    </xdr:sp>
    <xdr:clientData/>
  </xdr:twoCellAnchor>
  <xdr:twoCellAnchor>
    <xdr:from>
      <xdr:col>12</xdr:col>
      <xdr:colOff>44823</xdr:colOff>
      <xdr:row>7</xdr:row>
      <xdr:rowOff>206188</xdr:rowOff>
    </xdr:from>
    <xdr:to>
      <xdr:col>12</xdr:col>
      <xdr:colOff>1120588</xdr:colOff>
      <xdr:row>8</xdr:row>
      <xdr:rowOff>259978</xdr:rowOff>
    </xdr:to>
    <xdr:sp macro="" textlink="'sheet 2'!C23">
      <xdr:nvSpPr>
        <xdr:cNvPr id="16" name="TextBox 15">
          <a:extLst>
            <a:ext uri="{FF2B5EF4-FFF2-40B4-BE49-F238E27FC236}">
              <a16:creationId xmlns:a16="http://schemas.microsoft.com/office/drawing/2014/main" id="{A64B29FC-7465-0B98-9BA7-E2D242D33844}"/>
            </a:ext>
          </a:extLst>
        </xdr:cNvPr>
        <xdr:cNvSpPr txBox="1"/>
      </xdr:nvSpPr>
      <xdr:spPr>
        <a:xfrm>
          <a:off x="7548282" y="1550894"/>
          <a:ext cx="1075765" cy="322731"/>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770F9B39-2ED0-4A53-9F4F-1C6D09D6B4F7}" type="TxLink">
            <a:rPr lang="en-US" sz="1100" kern="1200">
              <a:solidFill>
                <a:schemeClr val="lt1"/>
              </a:solidFill>
              <a:latin typeface="+mn-lt"/>
              <a:ea typeface="+mn-ea"/>
              <a:cs typeface="+mn-cs"/>
            </a:rPr>
            <a:pPr marL="0" indent="0" algn="l"/>
            <a:t>12630</a:t>
          </a:fld>
          <a:endParaRPr lang="en-IN" sz="1100" kern="1200">
            <a:solidFill>
              <a:schemeClr val="lt1"/>
            </a:solidFill>
            <a:latin typeface="+mn-lt"/>
            <a:ea typeface="+mn-ea"/>
            <a:cs typeface="+mn-cs"/>
          </a:endParaRPr>
        </a:p>
      </xdr:txBody>
    </xdr:sp>
    <xdr:clientData/>
  </xdr:twoCellAnchor>
  <xdr:twoCellAnchor>
    <xdr:from>
      <xdr:col>12</xdr:col>
      <xdr:colOff>1676400</xdr:colOff>
      <xdr:row>7</xdr:row>
      <xdr:rowOff>170330</xdr:rowOff>
    </xdr:from>
    <xdr:to>
      <xdr:col>14</xdr:col>
      <xdr:colOff>304800</xdr:colOff>
      <xdr:row>8</xdr:row>
      <xdr:rowOff>224119</xdr:rowOff>
    </xdr:to>
    <xdr:sp macro="" textlink="'sheet 2'!C22">
      <xdr:nvSpPr>
        <xdr:cNvPr id="29" name="TextBox 28">
          <a:extLst>
            <a:ext uri="{FF2B5EF4-FFF2-40B4-BE49-F238E27FC236}">
              <a16:creationId xmlns:a16="http://schemas.microsoft.com/office/drawing/2014/main" id="{BD047546-4FD6-DA03-A140-DAF1F828DF11}"/>
            </a:ext>
          </a:extLst>
        </xdr:cNvPr>
        <xdr:cNvSpPr txBox="1"/>
      </xdr:nvSpPr>
      <xdr:spPr>
        <a:xfrm>
          <a:off x="9179859" y="1515036"/>
          <a:ext cx="1246094" cy="32273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AE851FA-3BDC-4A4B-AC5D-C73BFD0C9DEB}" type="TxLink">
            <a:rPr lang="en-US" sz="1100" kern="1200">
              <a:solidFill>
                <a:schemeClr val="lt1"/>
              </a:solidFill>
              <a:latin typeface="+mn-lt"/>
              <a:ea typeface="+mn-ea"/>
              <a:cs typeface="+mn-cs"/>
            </a:rPr>
            <a:pPr marL="0" indent="0" algn="ctr"/>
            <a:t>8250</a:t>
          </a:fld>
          <a:endParaRPr lang="en-IN" sz="1100" kern="1200">
            <a:solidFill>
              <a:schemeClr val="lt1"/>
            </a:solidFill>
            <a:latin typeface="+mn-lt"/>
            <a:ea typeface="+mn-ea"/>
            <a:cs typeface="+mn-cs"/>
          </a:endParaRPr>
        </a:p>
      </xdr:txBody>
    </xdr:sp>
    <xdr:clientData/>
  </xdr:twoCellAnchor>
  <xdr:twoCellAnchor>
    <xdr:from>
      <xdr:col>8</xdr:col>
      <xdr:colOff>546846</xdr:colOff>
      <xdr:row>11</xdr:row>
      <xdr:rowOff>251013</xdr:rowOff>
    </xdr:from>
    <xdr:to>
      <xdr:col>14</xdr:col>
      <xdr:colOff>869575</xdr:colOff>
      <xdr:row>31</xdr:row>
      <xdr:rowOff>161366</xdr:rowOff>
    </xdr:to>
    <xdr:graphicFrame macro="">
      <xdr:nvGraphicFramePr>
        <xdr:cNvPr id="13" name="Chart 12">
          <a:extLst>
            <a:ext uri="{FF2B5EF4-FFF2-40B4-BE49-F238E27FC236}">
              <a16:creationId xmlns:a16="http://schemas.microsoft.com/office/drawing/2014/main" id="{C979C08A-C75D-4E2B-9A43-31B9D40DB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663388</xdr:colOff>
      <xdr:row>4</xdr:row>
      <xdr:rowOff>80683</xdr:rowOff>
    </xdr:from>
    <xdr:to>
      <xdr:col>2</xdr:col>
      <xdr:colOff>457200</xdr:colOff>
      <xdr:row>6</xdr:row>
      <xdr:rowOff>35859</xdr:rowOff>
    </xdr:to>
    <xdr:sp macro="[0]!MYconnection" textlink="">
      <xdr:nvSpPr>
        <xdr:cNvPr id="15" name="Rectangle: Rounded Corners 14">
          <a:extLst>
            <a:ext uri="{FF2B5EF4-FFF2-40B4-BE49-F238E27FC236}">
              <a16:creationId xmlns:a16="http://schemas.microsoft.com/office/drawing/2014/main" id="{A610F45B-85E1-8DB8-4619-9F09E95EE078}"/>
            </a:ext>
          </a:extLst>
        </xdr:cNvPr>
        <xdr:cNvSpPr/>
      </xdr:nvSpPr>
      <xdr:spPr>
        <a:xfrm>
          <a:off x="663388" y="797859"/>
          <a:ext cx="1201271" cy="367553"/>
        </a:xfrm>
        <a:prstGeom prst="round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Refresh</a:t>
          </a:r>
          <a:r>
            <a:rPr lang="en-IN" sz="1100" kern="1200" baseline="0"/>
            <a:t> Queries</a:t>
          </a:r>
          <a:endParaRPr lang="en-IN" sz="1100" kern="1200"/>
        </a:p>
      </xdr:txBody>
    </xdr:sp>
    <xdr:clientData/>
  </xdr:twoCellAnchor>
  <xdr:twoCellAnchor editAs="oneCell">
    <xdr:from>
      <xdr:col>9</xdr:col>
      <xdr:colOff>77097</xdr:colOff>
      <xdr:row>11</xdr:row>
      <xdr:rowOff>28239</xdr:rowOff>
    </xdr:from>
    <xdr:to>
      <xdr:col>10</xdr:col>
      <xdr:colOff>546847</xdr:colOff>
      <xdr:row>14</xdr:row>
      <xdr:rowOff>89648</xdr:rowOff>
    </xdr:to>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926913E6-8453-D80A-FBA0-E0B5BFF629F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751756" y="2502498"/>
              <a:ext cx="1079350" cy="8682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0.32167</cdr:x>
      <cdr:y>0.14096</cdr:y>
    </cdr:from>
    <cdr:to>
      <cdr:x>0.685</cdr:x>
      <cdr:y>0.27926</cdr:y>
    </cdr:to>
    <cdr:sp macro="" textlink="">
      <cdr:nvSpPr>
        <cdr:cNvPr id="2" name="TextBox 1">
          <a:extLst xmlns:a="http://schemas.openxmlformats.org/drawingml/2006/main">
            <a:ext uri="{FF2B5EF4-FFF2-40B4-BE49-F238E27FC236}">
              <a16:creationId xmlns:a16="http://schemas.microsoft.com/office/drawing/2014/main" id="{B3932510-9BAC-55C4-7070-E7AA7741A8FE}"/>
            </a:ext>
          </a:extLst>
        </cdr:cNvPr>
        <cdr:cNvSpPr txBox="1"/>
      </cdr:nvSpPr>
      <cdr:spPr>
        <a:xfrm xmlns:a="http://schemas.openxmlformats.org/drawingml/2006/main">
          <a:off x="1730189" y="475129"/>
          <a:ext cx="1954306" cy="46616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0.30333</cdr:x>
      <cdr:y>0.12234</cdr:y>
    </cdr:from>
    <cdr:to>
      <cdr:x>0.74167</cdr:x>
      <cdr:y>0.21543</cdr:y>
    </cdr:to>
    <cdr:sp macro="" textlink="">
      <cdr:nvSpPr>
        <cdr:cNvPr id="3" name="TextBox 2">
          <a:extLst xmlns:a="http://schemas.openxmlformats.org/drawingml/2006/main">
            <a:ext uri="{FF2B5EF4-FFF2-40B4-BE49-F238E27FC236}">
              <a16:creationId xmlns:a16="http://schemas.microsoft.com/office/drawing/2014/main" id="{90BAC513-E99C-47DD-C62D-338877DD97C7}"/>
            </a:ext>
          </a:extLst>
        </cdr:cNvPr>
        <cdr:cNvSpPr txBox="1"/>
      </cdr:nvSpPr>
      <cdr:spPr>
        <a:xfrm xmlns:a="http://schemas.openxmlformats.org/drawingml/2006/main">
          <a:off x="1631577" y="412378"/>
          <a:ext cx="2357717" cy="31376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kern="1200"/>
            <a:t>Monthly</a:t>
          </a:r>
          <a:r>
            <a:rPr lang="en-IN" sz="1400" kern="1200" baseline="0"/>
            <a:t> Revenue 2023-2024</a:t>
          </a:r>
          <a:endParaRPr lang="en-IN" sz="14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615741" createdVersion="5" refreshedVersion="8" minRefreshableVersion="3" recordCount="0" supportSubquery="1" supportAdvancedDrill="1" xr:uid="{BD1BE963-AAF8-485F-B545-DBAA2123AF87}">
  <cacheSource type="external" connectionId="14"/>
  <cacheFields count="6">
    <cacheField name="[Calendar].[Month].[Month]" caption="Month" numFmtId="0" hierarchy="4" level="1">
      <sharedItems count="2">
        <s v="November"/>
        <s v="December"/>
      </sharedItems>
    </cacheField>
    <cacheField name="[Calendar].[Year].[Year]" caption="Year" numFmtId="0" hierarchy="2"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Calendar].[Year].&amp;[2024]"/>
          </x15:cachedUniqueNames>
        </ext>
      </extLst>
    </cacheField>
    <cacheField name="[Measures].[Sum of Amount]" caption="Sum of Amount" numFmtId="0" hierarchy="55"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0" memberValueDatatype="130" unbalanced="0"/>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cacheHierarchy uniqueName="[Measures].[Dec 2024]" caption="Dec 2024" measure="1" displayFolder="" measureGroup="Dashboard_measures" count="0"/>
    <cacheHierarchy uniqueName="[Measures].[Diffrence]" caption="Diffrence" measure="1" displayFolder="" measureGroup="Dashboard_measures" count="0"/>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oneField="1" hidden="1">
      <fieldsUsage count="1">
        <fieldUsage x="2"/>
      </fieldsUsage>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7083333" createdVersion="5" refreshedVersion="8" minRefreshableVersion="3" recordCount="0" supportSubquery="1" supportAdvancedDrill="1" xr:uid="{2AEA82FA-698B-492E-BF1B-09E4520BE45F}">
  <cacheSource type="external" connectionId="14"/>
  <cacheFields count="7">
    <cacheField name="[Calendar].[Month].[Month]" caption="Month" numFmtId="0" hierarchy="4" level="1">
      <sharedItems count="1">
        <s v="November"/>
      </sharedItems>
    </cacheField>
    <cacheField name="[Measures].[Sum of Amount]" caption="Sum of Amount" numFmtId="0" hierarchy="55" level="32767"/>
    <cacheField name="[dim_students].[courses].[courses]" caption="courses" numFmtId="0" hierarchy="23" level="1">
      <sharedItems count="4">
        <s v="Advance Excel"/>
        <s v="Data Analysis"/>
        <s v="Digital Marketing"/>
        <s v="Full Stack Developer"/>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 name="Dummy0" numFmtId="0" hierarchy="58" level="32767">
      <extLst>
        <ext xmlns:x14="http://schemas.microsoft.com/office/spreadsheetml/2009/9/main" uri="{63CAB8AC-B538-458d-9737-405883B0398D}">
          <x14:cacheField ignore="1"/>
        </ext>
      </extLst>
    </cacheField>
  </cacheFields>
  <cacheHierarchies count="5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2" memberValueDatatype="130" unbalanced="0">
      <fieldsUsage count="2">
        <fieldUsage x="-1"/>
        <fieldUsage x="2"/>
      </fieldsUsage>
    </cacheHierarchy>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cacheHierarchy uniqueName="[Measures].[Dec 2024]" caption="Dec 2024" measure="1" displayFolder="" measureGroup="Dashboard_measures" count="0"/>
    <cacheHierarchy uniqueName="[Measures].[Diffrence]" caption="Diffrence" measure="1" displayFolder="" measureGroup="Dashboard_measures" count="0"/>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oneField="1" hidden="1">
      <fieldsUsage count="1">
        <fieldUsage x="1"/>
      </fieldsUsage>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8009257" createdVersion="5" refreshedVersion="8" minRefreshableVersion="3" recordCount="0" supportSubquery="1" supportAdvancedDrill="1" xr:uid="{000D3023-9C13-4718-8E04-F0CAA18D3A1B}">
  <cacheSource type="external" connectionId="14"/>
  <cacheFields count="5">
    <cacheField name="[dim_students].[courses].[courses]" caption="courses" numFmtId="0" hierarchy="23" level="1">
      <sharedItems count="4">
        <s v="Advance Excel"/>
        <s v="Data Analysis"/>
        <s v="Digital Marketing"/>
        <s v="Full Stack Developer"/>
      </sharedItems>
    </cacheField>
    <cacheField name="[Measures].[Count of Student ID]" caption="Count of Student ID"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2" memberValueDatatype="130" unbalanced="0">
      <fieldsUsage count="2">
        <fieldUsage x="-1"/>
        <fieldUsage x="0"/>
      </fieldsUsage>
    </cacheHierarchy>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cacheHierarchy uniqueName="[Measures].[Dec 2024]" caption="Dec 2024" measure="1" displayFolder="" measureGroup="Dashboard_measures" count="0"/>
    <cacheHierarchy uniqueName="[Measures].[Diffrence]" caption="Diffrence" measure="1" displayFolder="" measureGroup="Dashboard_measures" count="0"/>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8703704" createdVersion="5" refreshedVersion="8" minRefreshableVersion="3" recordCount="0" supportSubquery="1" supportAdvancedDrill="1" xr:uid="{1A5BC2BD-D235-4F7B-B735-7DA810529192}">
  <cacheSource type="external" connectionId="14"/>
  <cacheFields count="8">
    <cacheField name="[dim_students].[courses].[courses]" caption="courses" numFmtId="0" hierarchy="23" level="1">
      <sharedItems count="3">
        <s v="Advance Excel"/>
        <s v="Data Analysis"/>
        <s v="Full Stack Developer"/>
      </sharedItems>
    </cacheField>
    <cacheField name="[Calendar].[Month].[Month]" caption="Month" numFmtId="0" hierarchy="4" level="1">
      <sharedItems count="1">
        <s v="November"/>
      </sharedItems>
    </cacheField>
    <cacheField name="[Measures].[nov2023]" caption="nov2023" numFmtId="0" hierarchy="38" level="32767"/>
    <cacheField name="[Measures].[nov 2024]" caption="nov 2024" numFmtId="0" hierarchy="41" level="32767"/>
    <cacheField name="[Measures].[Diffrence]" caption="Diffrenc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5"/>
        <fieldUsage x="6"/>
        <fieldUsage x="7"/>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2" memberValueDatatype="130" unbalanced="0">
      <fieldsUsage count="2">
        <fieldUsage x="-1"/>
        <fieldUsage x="0"/>
      </fieldsUsage>
    </cacheHierarchy>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oneField="1">
      <fieldsUsage count="1">
        <fieldUsage x="2"/>
      </fieldsUsage>
    </cacheHierarchy>
    <cacheHierarchy uniqueName="[Measures].[Dec 2024]" caption="Dec 2024" measure="1" displayFolder="" measureGroup="Dashboard_measures" count="0"/>
    <cacheHierarchy uniqueName="[Measures].[Diffrence]" caption="Diffrence" measure="1" displayFolder="" measureGroup="Dashboard_measures" count="0" oneField="1">
      <fieldsUsage count="1">
        <fieldUsage x="4"/>
      </fieldsUsage>
    </cacheHierarchy>
    <cacheHierarchy uniqueName="[Measures].[nov 2024]" caption="nov 2024" measure="1" displayFolder="" measureGroup="Dashboard_measures" count="0" oneField="1">
      <fieldsUsage count="1">
        <fieldUsage x="3"/>
      </fieldsUsage>
    </cacheHierarchy>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9629628" createdVersion="5" refreshedVersion="8" minRefreshableVersion="3" recordCount="0" supportSubquery="1" supportAdvancedDrill="1" xr:uid="{EABF70C9-4EF7-4DB5-9826-BFCD7EFD44ED}">
  <cacheSource type="external" connectionId="14"/>
  <cacheFields count="7">
    <cacheField name="[Calendar].[Month].[Month]" caption="Month" numFmtId="0" hierarchy="4" level="1">
      <sharedItems count="1">
        <s v="November"/>
      </sharedItems>
    </cacheField>
    <cacheField name="[Measures].[nov2023]" caption="nov2023" numFmtId="0" hierarchy="38" level="32767"/>
    <cacheField name="[Measures].[Dec 2024]" caption="Dec 2024" numFmtId="0" hierarchy="39" level="32767"/>
    <cacheField name="[Measures].[nov 2024]" caption="nov 2024"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0" memberValueDatatype="130" unbalanced="0"/>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oneField="1">
      <fieldsUsage count="1">
        <fieldUsage x="1"/>
      </fieldsUsage>
    </cacheHierarchy>
    <cacheHierarchy uniqueName="[Measures].[Dec 2024]" caption="Dec 2024" measure="1" displayFolder="" measureGroup="Dashboard_measures" count="0" oneField="1">
      <fieldsUsage count="1">
        <fieldUsage x="2"/>
      </fieldsUsage>
    </cacheHierarchy>
    <cacheHierarchy uniqueName="[Measures].[Diffrence]" caption="Diffrence" measure="1" displayFolder="" measureGroup="Dashboard_measures" count="0"/>
    <cacheHierarchy uniqueName="[Measures].[nov 2024]" caption="nov 2024" measure="1" displayFolder="" measureGroup="Dashboard_measures" count="0" oneField="1">
      <fieldsUsage count="1">
        <fieldUsage x="3"/>
      </fieldsUsage>
    </cacheHierarchy>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80092589" createdVersion="5" refreshedVersion="8" minRefreshableVersion="3" recordCount="0" supportSubquery="1" supportAdvancedDrill="1" xr:uid="{0901AE96-1F50-439D-B911-63F8FFF06B9B}">
  <cacheSource type="external" connectionId="14"/>
  <cacheFields count="5">
    <cacheField name="[Calendar].[Month].[Month]" caption="Month" numFmtId="0" hierarchy="4" level="1">
      <sharedItems count="1">
        <s v="November"/>
      </sharedItems>
    </cacheField>
    <cacheField name="[Measures].[Sum of Amount]" caption="Sum of Amount" numFmtId="0" hierarchy="55"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0" memberValueDatatype="130" unbalanced="0"/>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cacheHierarchy uniqueName="[Measures].[Dec 2024]" caption="Dec 2024" measure="1" displayFolder="" measureGroup="Dashboard_measures" count="0"/>
    <cacheHierarchy uniqueName="[Measures].[Diffrence]" caption="Diffrence" measure="1" displayFolder="" measureGroup="Dashboard_measures" count="0"/>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oneField="1" hidden="1">
      <fieldsUsage count="1">
        <fieldUsage x="1"/>
      </fieldsUsage>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80902775" createdVersion="5" refreshedVersion="8" minRefreshableVersion="3" recordCount="0" supportSubquery="1" supportAdvancedDrill="1" xr:uid="{61576F2C-A89A-44EA-A66E-9FE9C41FAA8A}">
  <cacheSource type="external" connectionId="14"/>
  <cacheFields count="8">
    <cacheField name="[dim_students].[courses].[courses]" caption="courses" numFmtId="0" hierarchy="23" level="1">
      <sharedItems count="4">
        <s v="Advance Excel"/>
        <s v="Data Analysis"/>
        <s v="Digital Marketing"/>
        <s v="Full Stack Developer"/>
      </sharedItems>
    </cacheField>
    <cacheField name="[Calendar].[Month].[Month]" caption="Month" numFmtId="0" hierarchy="4" level="1">
      <sharedItems count="1">
        <s v="November"/>
      </sharedItems>
    </cacheField>
    <cacheField name="[Measures].[nov2023]" caption="nov2023" numFmtId="0" hierarchy="38" level="32767"/>
    <cacheField name="[Measures].[Dec 2024]" caption="Dec 2024" numFmtId="0" hierarchy="39" level="32767"/>
    <cacheField name="[Measures].[Diffrence]" caption="Diffrenc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5"/>
        <fieldUsage x="6"/>
        <fieldUsage x="7"/>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2" memberValueDatatype="130" unbalanced="0">
      <fieldsUsage count="2">
        <fieldUsage x="-1"/>
        <fieldUsage x="0"/>
      </fieldsUsage>
    </cacheHierarchy>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oneField="1">
      <fieldsUsage count="1">
        <fieldUsage x="2"/>
      </fieldsUsage>
    </cacheHierarchy>
    <cacheHierarchy uniqueName="[Measures].[Dec 2024]" caption="Dec 2024" measure="1" displayFolder="" measureGroup="Dashboard_measures" count="0" oneField="1">
      <fieldsUsage count="1">
        <fieldUsage x="3"/>
      </fieldsUsage>
    </cacheHierarchy>
    <cacheHierarchy uniqueName="[Measures].[Diffrence]" caption="Diffrence" measure="1" displayFolder="" measureGroup="Dashboard_measures" count="0" oneField="1">
      <fieldsUsage count="1">
        <fieldUsage x="4"/>
      </fieldsUsage>
    </cacheHierarchy>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dimensions count="11">
    <dimension name="Calendar" uniqueName="[Calendar]" caption="Calendar"/>
    <dimension name="Dashboard_measures" uniqueName="[Dashboard_measures]" caption="Dashboard_measures"/>
    <dimension name="dim_authority" uniqueName="[dim_authority]" caption="dim_authority"/>
    <dimension name="dim_coursecompletion" uniqueName="[dim_coursecompletion]" caption="dim_coursecompletion"/>
    <dimension name="Dim_Courses" uniqueName="[Dim_Courses]" caption="Dim_Courses"/>
    <dimension name="Dim_FeesMonthly" uniqueName="[Dim_FeesMonthly]" caption="Dim_FeesMonthly"/>
    <dimension name="dim_students" uniqueName="[dim_students]" caption="dim_students"/>
    <dimension name="Dim_TotalFees" uniqueName="[Dim_TotalFees]" caption="Dim_TotalFees"/>
    <dimension name="fact_transactions" uniqueName="[fact_transactions]" caption="fact_transactions"/>
    <dimension name="FactTest" uniqueName="[FactTest]" caption="FactTest"/>
    <dimension measure="1" name="Measures" uniqueName="[Measures]" caption="Measures"/>
  </dimensions>
  <measureGroups count="10">
    <measureGroup name="Calendar" caption="Calendar"/>
    <measureGroup name="Dashboard_measures" caption="Dashboard_measures"/>
    <measureGroup name="dim_authority" caption="dim_authority"/>
    <measureGroup name="dim_coursecompletion" caption="dim_coursecompletion"/>
    <measureGroup name="Dim_Courses" caption="Dim_Courses"/>
    <measureGroup name="Dim_FeesMonthly" caption="Dim_FeesMonthly"/>
    <measureGroup name="dim_students" caption="dim_students"/>
    <measureGroup name="Dim_TotalFees" caption="Dim_TotalFees"/>
    <measureGroup name="fact_transactions" caption="fact_transactions"/>
    <measureGroup name="FactTest" caption="FactTest"/>
  </measureGroups>
  <maps count="17">
    <map measureGroup="0" dimension="0"/>
    <map measureGroup="1" dimension="1"/>
    <map measureGroup="2" dimension="2"/>
    <map measureGroup="3" dimension="3"/>
    <map measureGroup="4" dimension="4"/>
    <map measureGroup="5" dimension="5"/>
    <map measureGroup="6" dimension="4"/>
    <map measureGroup="6" dimension="6"/>
    <map measureGroup="7" dimension="5"/>
    <map measureGroup="7" dimension="7"/>
    <map measureGroup="8" dimension="0"/>
    <map measureGroup="8" dimension="3"/>
    <map measureGroup="8" dimension="4"/>
    <map measureGroup="8" dimension="6"/>
    <map measureGroup="8" dimension="8"/>
    <map measureGroup="8" dimension="9"/>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shank kukreti" refreshedDate="45687.468773958331" createdVersion="3" refreshedVersion="8" minRefreshableVersion="3" recordCount="0" supportSubquery="1" supportAdvancedDrill="1" xr:uid="{78CBC27C-890F-46A6-9D66-03C90537F42B}">
  <cacheSource type="external" connectionId="14">
    <extLst>
      <ext xmlns:x14="http://schemas.microsoft.com/office/spreadsheetml/2009/9/main" uri="{F057638F-6D5F-4e77-A914-E7F072B9BCA8}">
        <x14:sourceConnection name="ThisWorkbookDataModel"/>
      </ext>
    </extLst>
  </cacheSource>
  <cacheFields count="0"/>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shboard_measures].[Dashboard_measures]" caption="Dashboard_measures" attribute="1" defaultMemberUniqueName="[Dashboard_measures].[Dashboard_measures].[All]" allUniqueName="[Dashboard_measures].[Dashboard_measures].[All]" dimensionUniqueName="[Dashboard_measures]" displayFolder="" count="0" memberValueDatatype="130" unbalanced="0"/>
    <cacheHierarchy uniqueName="[dim_authority].[Collected_Authority_ID]" caption="Collected_Authority_ID" attribute="1" defaultMemberUniqueName="[dim_authority].[Collected_Authority_ID].[All]" allUniqueName="[dim_authority].[Collected_Authority_ID].[All]" dimensionUniqueName="[dim_authority]" displayFolder="" count="0" memberValueDatatype="20" unbalanced="0"/>
    <cacheHierarchy uniqueName="[dim_authority].[Name]" caption="Name" attribute="1" defaultMemberUniqueName="[dim_authority].[Name].[All]" allUniqueName="[dim_authority].[Name].[All]" dimensionUniqueName="[dim_authority]" displayFolder="" count="0" memberValueDatatype="130" unbalanced="0"/>
    <cacheHierarchy uniqueName="[dim_coursecompletion].[Student_Id]" caption="Student_Id" attribute="1" defaultMemberUniqueName="[dim_coursecompletion].[Student_Id].[All]" allUniqueName="[dim_coursecompletion].[Student_Id].[All]" dimensionUniqueName="[dim_coursecompletion]" displayFolder="" count="0" memberValueDatatype="20" unbalanced="0"/>
    <cacheHierarchy uniqueName="[dim_coursecompletion].[Status]" caption="Status" attribute="1" defaultMemberUniqueName="[dim_coursecompletion].[Status].[All]" allUniqueName="[dim_coursecompletion].[Status].[All]" dimensionUniqueName="[dim_coursecompletion]" displayFolder="" count="0" memberValueDatatype="130" unbalanced="0"/>
    <cacheHierarchy uniqueName="[Dim_Courses].[Courseid]" caption="Courseid" attribute="1" defaultMemberUniqueName="[Dim_Courses].[Courseid].[All]" allUniqueName="[Dim_Courses].[Courseid].[All]" dimensionUniqueName="[Dim_Courses]" displayFolder="" count="0" memberValueDatatype="20" unbalanced="0"/>
    <cacheHierarchy uniqueName="[Dim_Courses].[Course Name]" caption="Course Name" attribute="1" defaultMemberUniqueName="[Dim_Courses].[Course Name].[All]" allUniqueName="[Dim_Courses].[Course Name].[All]" dimensionUniqueName="[Dim_Courses]" displayFolder="" count="0" memberValueDatatype="130" unbalanced="0"/>
    <cacheHierarchy uniqueName="[Dim_Courses].[Total Duration]" caption="Total Duration" attribute="1" defaultMemberUniqueName="[Dim_Courses].[Total Duration].[All]" allUniqueName="[Dim_Courses].[Total Duration].[All]" dimensionUniqueName="[Dim_Courses]" displayFolder="" count="0" memberValueDatatype="5" unbalanced="0"/>
    <cacheHierarchy uniqueName="[Dim_Courses].[Daily Classess]" caption="Daily Classess" attribute="1" defaultMemberUniqueName="[Dim_Courses].[Daily Classess].[All]" allUniqueName="[Dim_Courses].[Daily Classess].[All]" dimensionUniqueName="[Dim_Courses]" displayFolder="" count="0" memberValueDatatype="5" unbalanced="0"/>
    <cacheHierarchy uniqueName="[Dim_Courses].[Book Material]" caption="Book Material" attribute="1" defaultMemberUniqueName="[Dim_Courses].[Book Material].[All]" allUniqueName="[Dim_Courses].[Book Material].[All]" dimensionUniqueName="[Dim_Courses]" displayFolder="" count="0" memberValueDatatype="130" unbalanced="0"/>
    <cacheHierarchy uniqueName="[Dim_Courses].[Certification]" caption="Certification" attribute="1" defaultMemberUniqueName="[Dim_Courses].[Certification].[All]" allUniqueName="[Dim_Courses].[Certification].[All]" dimensionUniqueName="[Dim_Courses]" displayFolder="" count="0" memberValueDatatype="130" unbalanced="0"/>
    <cacheHierarchy uniqueName="[Dim_FeesMonthly].[student_id (Unqiue)]" caption="student_id (Unqiue)" attribute="1" defaultMemberUniqueName="[Dim_FeesMonthly].[student_id (Unqiue)].[All]" allUniqueName="[Dim_FeesMonthly].[student_id (Unqiue)].[All]" dimensionUniqueName="[Dim_FeesMonthly]" displayFolder="" count="0" memberValueDatatype="20" unbalanced="0"/>
    <cacheHierarchy uniqueName="[Dim_FeesMonthly].[Fees per month]" caption="Fees per month" attribute="1" defaultMemberUniqueName="[Dim_FeesMonthly].[Fees per month].[All]" allUniqueName="[Dim_FeesMonthly].[Fees per month].[All]" dimensionUniqueName="[Dim_FeesMonthly]" displayFolder="" count="0" memberValueDatatype="20" unbalanced="0"/>
    <cacheHierarchy uniqueName="[dim_students].[Student ID]" caption="Student ID" attribute="1" defaultMemberUniqueName="[dim_students].[Student ID].[All]" allUniqueName="[dim_students].[Student ID].[All]" dimensionUniqueName="[dim_students]" displayFolder="" count="0" memberValueDatatype="20" unbalanced="0"/>
    <cacheHierarchy uniqueName="[dim_students].[student_name]" caption="student_name" attribute="1" defaultMemberUniqueName="[dim_students].[student_name].[All]" allUniqueName="[dim_students].[student_name].[All]" dimensionUniqueName="[dim_students]" displayFolder="" count="0" memberValueDatatype="130" unbalanced="0"/>
    <cacheHierarchy uniqueName="[dim_students].[courses]" caption="courses" attribute="1" defaultMemberUniqueName="[dim_students].[courses].[All]" allUniqueName="[dim_students].[courses].[All]" dimensionUniqueName="[dim_students]" displayFolder="" count="0" memberValueDatatype="130" unbalanced="0"/>
    <cacheHierarchy uniqueName="[dim_students].[Course_id]" caption="Course_id" attribute="1" defaultMemberUniqueName="[dim_students].[Course_id].[All]" allUniqueName="[dim_students].[Course_id].[All]" dimensionUniqueName="[dim_students]" displayFolder="" count="0" memberValueDatatype="20" unbalanced="0"/>
    <cacheHierarchy uniqueName="[Dim_TotalFees].[student_id (Unqiue)]" caption="student_id (Unqiue)" attribute="1" defaultMemberUniqueName="[Dim_TotalFees].[student_id (Unqiue)].[All]" allUniqueName="[Dim_TotalFees].[student_id (Unqiue)].[All]" dimensionUniqueName="[Dim_TotalFees]" displayFolder="" count="0" memberValueDatatype="20" unbalanced="0"/>
    <cacheHierarchy uniqueName="[Dim_TotalFees].[Total Fees]" caption="Total Fees" attribute="1" defaultMemberUniqueName="[Dim_TotalFees].[Total Fees].[All]" allUniqueName="[Dim_TotalFees].[Total Fees].[All]" dimensionUniqueName="[Dim_TotalFees]" displayFolder="" count="0" memberValueDatatype="20" unbalanced="0"/>
    <cacheHierarchy uniqueName="[fact_transactions].[Recipt No]" caption="Recipt No" attribute="1" defaultMemberUniqueName="[fact_transactions].[Recipt No].[All]" allUniqueName="[fact_transactions].[Recipt No].[All]" dimensionUniqueName="[fact_transactions]" displayFolder="" count="0" memberValueDatatype="20" unbalanced="0"/>
    <cacheHierarchy uniqueName="[fact_transactions].[Date]" caption="Date" attribute="1" time="1" defaultMemberUniqueName="[fact_transactions].[Date].[All]" allUniqueName="[fact_transactions].[Date].[All]" dimensionUniqueName="[fact_transactions]" displayFolder="" count="0" memberValueDatatype="7" unbalanced="0"/>
    <cacheHierarchy uniqueName="[fact_transactions].[Student ID]" caption="Student ID" attribute="1" defaultMemberUniqueName="[fact_transactions].[Student ID].[All]" allUniqueName="[fact_transactions].[Student ID].[All]" dimensionUniqueName="[fact_transactions]" displayFolder="" count="0" memberValueDatatype="20" unbalanced="0"/>
    <cacheHierarchy uniqueName="[fact_transactions].[Collected_Authority_ID]" caption="Collected_Authority_ID" attribute="1" defaultMemberUniqueName="[fact_transactions].[Collected_Authority_ID].[All]" allUniqueName="[fact_transactions].[Collected_Authority_ID].[All]" dimensionUniqueName="[fact_transactions]" displayFolder="" count="0" memberValueDatatype="20" unbalanced="0"/>
    <cacheHierarchy uniqueName="[fact_transactions].[Amount]" caption="Amount" attribute="1" defaultMemberUniqueName="[fact_transactions].[Amount].[All]" allUniqueName="[fact_transactions].[Amount].[All]" dimensionUniqueName="[fact_transactions]" displayFolder="" count="0" memberValueDatatype="20" unbalanced="0"/>
    <cacheHierarchy uniqueName="[FactTest].[Studentid]" caption="Studentid" attribute="1" defaultMemberUniqueName="[FactTest].[Studentid].[All]" allUniqueName="[FactTest].[Studentid].[All]" dimensionUniqueName="[FactTest]" displayFolder="" count="0" memberValueDatatype="130" unbalanced="0"/>
    <cacheHierarchy uniqueName="[FactTest].[test 1]" caption="test 1" attribute="1" defaultMemberUniqueName="[FactTest].[test 1].[All]" allUniqueName="[FactTest].[test 1].[All]" dimensionUniqueName="[FactTest]" displayFolder="" count="0" memberValueDatatype="20" unbalanced="0"/>
    <cacheHierarchy uniqueName="[FactTest].[test 2]" caption="test 2" attribute="1" defaultMemberUniqueName="[FactTest].[test 2].[All]" allUniqueName="[FactTest].[test 2].[All]" dimensionUniqueName="[FactTest]" displayFolder="" count="0" memberValueDatatype="20" unbalanced="0"/>
    <cacheHierarchy uniqueName="[FactTest].[test 3]" caption="test 3" attribute="1" defaultMemberUniqueName="[FactTest].[test 3].[All]" allUniqueName="[FactTest].[test 3].[All]" dimensionUniqueName="[FactTest]" displayFolder="" count="0" memberValueDatatype="20" unbalanced="0"/>
    <cacheHierarchy uniqueName="[FactTest].[Students'Name]" caption="Students'Name" attribute="1" defaultMemberUniqueName="[FactTest].[Students'Name].[All]" allUniqueName="[FactTest].[Students'Name].[All]" dimensionUniqueName="[FactTest]" displayFolder="" count="0" memberValueDatatype="130" unbalanced="0"/>
    <cacheHierarchy uniqueName="[Measures].[NOV 2023]" caption="NOV 2023" measure="1" displayFolder="" measureGroup="dim_students" count="0"/>
    <cacheHierarchy uniqueName="[Measures].[nov2023]" caption="nov2023" measure="1" displayFolder="" measureGroup="Dashboard_measures" count="0"/>
    <cacheHierarchy uniqueName="[Measures].[Dec 2024]" caption="Dec 2024" measure="1" displayFolder="" measureGroup="Dashboard_measures" count="0"/>
    <cacheHierarchy uniqueName="[Measures].[Diffrence]" caption="Diffrence" measure="1" displayFolder="" measureGroup="Dashboard_measures" count="0"/>
    <cacheHierarchy uniqueName="[Measures].[nov 2024]" caption="nov 2024" measure="1" displayFolder="" measureGroup="Dashboard_measures" count="0"/>
    <cacheHierarchy uniqueName="[Measures].[__XL_Count dim_students]" caption="__XL_Count dim_students" measure="1" displayFolder="" measureGroup="dim_students" count="0" hidden="1"/>
    <cacheHierarchy uniqueName="[Measures].[__XL_Count dim_coursecompletion]" caption="__XL_Count dim_coursecompletion" measure="1" displayFolder="" measureGroup="dim_coursecompletion" count="0" hidden="1"/>
    <cacheHierarchy uniqueName="[Measures].[__XL_Count dim_authority]" caption="__XL_Count dim_authority" measure="1" displayFolder="" measureGroup="dim_authority" count="0" hidden="1"/>
    <cacheHierarchy uniqueName="[Measures].[__XL_Count Dim_FeesMonthly]" caption="__XL_Count Dim_FeesMonthly" measure="1" displayFolder="" measureGroup="Dim_FeesMonthly" count="0" hidden="1"/>
    <cacheHierarchy uniqueName="[Measures].[__XL_Count Dim_TotalFees]" caption="__XL_Count Dim_TotalFees" measure="1" displayFolder="" measureGroup="Dim_TotalFees" count="0" hidden="1"/>
    <cacheHierarchy uniqueName="[Measures].[__XL_Count FactTest]" caption="__XL_Count FactTest" measure="1" displayFolder="" measureGroup="FactTest" count="0" hidden="1"/>
    <cacheHierarchy uniqueName="[Measures].[__XL_Count Dim_Courses]" caption="__XL_Count Dim_Courses" measure="1" displayFolder="" measureGroup="Dim_Courses" count="0" hidden="1"/>
    <cacheHierarchy uniqueName="[Measures].[__XL_Count fact_transactions]" caption="__XL_Count fact_transactions" measure="1" displayFolder="" measureGroup="fact_transactions" count="0" hidden="1"/>
    <cacheHierarchy uniqueName="[Measures].[__XL_Count Calendar]" caption="__XL_Count Calendar" measure="1" displayFolder="" measureGroup="Calendar" count="0" hidden="1"/>
    <cacheHierarchy uniqueName="[Measures].[__XL_Count Dashboard_measures]" caption="__XL_Count Dashboard_measures" measure="1" displayFolder="" measureGroup="Dashboard_measures" count="0" hidden="1"/>
    <cacheHierarchy uniqueName="[Measures].[__No measures defined]" caption="__No measures defined" measure="1" displayFolder="" count="0" hidden="1"/>
    <cacheHierarchy uniqueName="[Measures].[Sum of Student ID]" caption="Sum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Count of Student ID]" caption="Count of Student ID" measure="1" displayFolder="" measureGroup="dim_students" count="0" hidden="1">
      <extLst>
        <ext xmlns:x15="http://schemas.microsoft.com/office/spreadsheetml/2010/11/main" uri="{B97F6D7D-B522-45F9-BDA1-12C45D357490}">
          <x15:cacheHierarchy aggregatedColumn="21"/>
        </ext>
      </extLst>
    </cacheHierarchy>
    <cacheHierarchy uniqueName="[Measures].[Sum of Amount]" caption="Sum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Count of Amount]" caption="Count of Amount" measure="1" displayFolder="" measureGroup="fact_transactions" count="0" hidden="1">
      <extLst>
        <ext xmlns:x15="http://schemas.microsoft.com/office/spreadsheetml/2010/11/main" uri="{B97F6D7D-B522-45F9-BDA1-12C45D357490}">
          <x15:cacheHierarchy aggregatedColumn="31"/>
        </ext>
      </extLst>
    </cacheHierarchy>
    <cacheHierarchy uniqueName="[Measures].[Distinct Count of Amount]" caption="Distinct Count of Amount" measure="1" displayFolder="" measureGroup="fact_transactions" count="0" hidden="1">
      <extLst>
        <ext xmlns:x15="http://schemas.microsoft.com/office/spreadsheetml/2010/11/main" uri="{B97F6D7D-B522-45F9-BDA1-12C45D357490}">
          <x15:cacheHierarchy aggregatedColumn="31"/>
        </ext>
      </extLst>
    </cacheHierarchy>
  </cacheHierarchies>
  <kpis count="0"/>
  <extLst>
    <ext xmlns:x14="http://schemas.microsoft.com/office/spreadsheetml/2009/9/main" uri="{725AE2AE-9491-48be-B2B4-4EB974FC3084}">
      <x14:pivotCacheDefinition slicerData="1" pivotCacheId="91334122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61FEDF-C21C-4163-A8CB-8FA02A11D9DD}" name="PivotTable2" cacheId="834" applyNumberFormats="0" applyBorderFormats="0" applyFontFormats="0" applyPatternFormats="0" applyAlignmentFormats="0" applyWidthHeightFormats="1" dataCaption="Values" tag="e758bc45-931b-454c-b95b-292635b12f3f" updatedVersion="8" minRefreshableVersion="3" useAutoFormatting="1" subtotalHiddenItems="1" colGrandTotals="0" itemPrintTitles="1" createdVersion="5" indent="0" outline="1" outlineData="1" multipleFieldFilters="0" chartFormat="4" rowHeaderCaption="Courses">
  <location ref="A9:D13" firstHeaderRow="0" firstDataRow="1" firstDataCol="1"/>
  <pivotFields count="8">
    <pivotField axis="axisRow" allDrilled="1" subtotalTop="0" showAll="0" dataSourceSort="1" defaultSubtotal="0" defaultAttributeDrillState="1">
      <items count="3">
        <item x="0"/>
        <item x="1"/>
        <item x="2"/>
      </items>
    </pivotField>
    <pivotField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8C652E-A573-450F-A32F-E749BD774FFE}" name="PivotTable4" cacheId="825" applyNumberFormats="0" applyBorderFormats="0" applyFontFormats="0" applyPatternFormats="0" applyAlignmentFormats="0" applyWidthHeightFormats="1" dataCaption="Values" tag="414c201e-67e4-43c0-83cf-ae7a1ac8c5b1" updatedVersion="8" minRefreshableVersion="3" useAutoFormatting="1" subtotalHiddenItems="1" rowGrandTotals="0" colGrandTotals="0" itemPrintTitles="1" createdVersion="5" indent="0" outline="1" outlineData="1" multipleFieldFilters="0" chartFormat="39" rowHeaderCaption="YEAR">
  <location ref="A27:B30" firstHeaderRow="1" firstDataRow="1" firstDataCol="1"/>
  <pivotFields count="6">
    <pivotField axis="axisRow" allDrilled="1" subtotalTop="0" showAll="0" dataSourceSort="1" defaultSubtotal="0" defaultAttributeDrillState="1">
      <items count="2">
        <item s="1" x="0"/>
        <item s="1" x="1"/>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1"/>
    <field x="0"/>
  </rowFields>
  <rowItems count="3">
    <i>
      <x/>
    </i>
    <i r="1">
      <x/>
    </i>
    <i r="1">
      <x v="1"/>
    </i>
  </rowItems>
  <colItems count="1">
    <i/>
  </colItems>
  <dataFields count="1">
    <dataField name="Sum of Amount" fld="2" baseField="0" baseItem="0"/>
  </dataFields>
  <chartFormats count="2">
    <chartFormat chart="35" format="15"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760005-2DEB-4683-B15B-8772AFA2D1A8}" name="PivotTable1" cacheId="831" applyNumberFormats="0" applyBorderFormats="0" applyFontFormats="0" applyPatternFormats="0" applyAlignmentFormats="0" applyWidthHeightFormats="1" dataCaption="Values" tag="8e77d794-b570-4aab-887c-c1aaabe8cb8b" updatedVersion="8" minRefreshableVersion="3" useAutoFormatting="1" subtotalHiddenItems="1" itemPrintTitles="1" createdVersion="5" indent="0" outline="1" outlineData="1" multipleFieldFilters="0" chartFormat="8" rowHeaderCaption="Courses">
  <location ref="A1:B6" firstHeaderRow="1"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Items count="1">
    <i/>
  </colItems>
  <dataFields count="1">
    <dataField name="Students"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D703A6-B2B2-4DA5-BD5B-CEF3F3BCF059}" name="PivotTable5" cacheId="840" applyNumberFormats="0" applyBorderFormats="0" applyFontFormats="0" applyPatternFormats="0" applyAlignmentFormats="0" applyWidthHeightFormats="1" dataCaption="Values" tag="ea0e0fd2-5de9-42d4-a236-4e880eaefadb" updatedVersion="8" minRefreshableVersion="3" useAutoFormatting="1" subtotalHiddenItems="1" colGrandTotals="0" itemPrintTitles="1" createdVersion="5" indent="0" outline="1" outlineData="1" multipleFieldFilters="0" chartFormat="19" rowHeaderCaption="Courses">
  <location ref="A35:A36" firstHeaderRow="1" firstDataRow="1" firstDataCol="0"/>
  <pivotFields count="5">
    <pivotField allDrilled="1" subtotalTop="0" showAll="0" dataSourceSort="1" defaultSubtotal="0" defaultAttributeDrillState="1">
      <items count="1">
        <item s="1"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name="Sum of Amount" fld="1" baseField="0" baseItem="0"/>
  </dataField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F1FBD0-B9ED-406A-B8C7-3C5E9996E8C9}" name="PivotTable3" cacheId="837" applyNumberFormats="0" applyBorderFormats="0" applyFontFormats="0" applyPatternFormats="0" applyAlignmentFormats="0" applyWidthHeightFormats="1" dataCaption="Values" tag="726a0a0e-55d2-4a3f-b2ca-5537507b58bf" updatedVersion="8" minRefreshableVersion="3" useAutoFormatting="1" subtotalHiddenItems="1" colGrandTotals="0" itemPrintTitles="1" createdVersion="5" indent="0" outline="1" outlineData="1" multipleFieldFilters="0" chartFormat="11" rowHeaderCaption="Courses">
  <location ref="A19:C20" firstHeaderRow="0" firstDataRow="1" firstDataCol="0"/>
  <pivotFields count="7">
    <pivotField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3">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C42E6E-0B99-493B-A582-10AE09B0DFFF}" name="PivotTable5" cacheId="828" applyNumberFormats="0" applyBorderFormats="0" applyFontFormats="0" applyPatternFormats="0" applyAlignmentFormats="0" applyWidthHeightFormats="1" dataCaption="Values" tag="e68067c5-d114-40ab-8d5b-58bd94d3eaf6" updatedVersion="8" minRefreshableVersion="3" useAutoFormatting="1" subtotalHiddenItems="1" colGrandTotals="0" itemPrintTitles="1" createdVersion="5" indent="0" outline="1" outlineData="1" multipleFieldFilters="0" chartFormat="4" rowHeaderCaption="Courses">
  <location ref="Q20:S25" firstHeaderRow="0" firstDataRow="1" firstDataCol="1"/>
  <pivotFields count="7">
    <pivotField allDrilled="1" subtotalTop="0" showAll="0" dataSourceSort="1" defaultSubtotal="0" defaultAttributeDrillState="1">
      <items count="1">
        <item s="1" x="0"/>
      </items>
    </pivotField>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pivotField subtotalTop="0" showAll="0" dataSourceSort="1" defaultSubtotal="0"/>
    <pivotField subtotalTop="0" showAll="0" dataSourceSort="1"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5">
    <i>
      <x/>
    </i>
    <i>
      <x v="1"/>
    </i>
    <i>
      <x v="2"/>
    </i>
    <i>
      <x v="3"/>
    </i>
    <i t="grand">
      <x/>
    </i>
  </rowItems>
  <colFields count="1">
    <field x="-2"/>
  </colFields>
  <colItems count="2">
    <i>
      <x/>
    </i>
    <i i="1">
      <x v="1"/>
    </i>
  </colItems>
  <dataFields count="2">
    <dataField name="Fees" fld="1" baseField="2" baseItem="0"/>
    <dataField name="%" fld="6" showDataAs="percentOfTotal" baseField="2" baseItem="0" numFmtId="10">
      <extLst>
        <ext xmlns:x14="http://schemas.microsoft.com/office/spreadsheetml/2009/9/main" uri="{E15A36E0-9728-4e99-A89B-3F7291B0FE68}">
          <x14:dataField sourceField="1" uniqueName="[__Xl2].[Measures].[Sum of Amount]"/>
        </ext>
      </extLst>
    </dataField>
  </dataFields>
  <pivotHierarchies count="59">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caption="Fees"/>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463263-BC21-4D43-A6F7-4A04D3FBF144}" name="PivotTable4" cacheId="843" applyNumberFormats="0" applyBorderFormats="0" applyFontFormats="0" applyPatternFormats="0" applyAlignmentFormats="0" applyWidthHeightFormats="1" dataCaption="Values" tag="f5331ec4-d976-4851-90b1-b90a322e6761" updatedVersion="8" minRefreshableVersion="3" useAutoFormatting="1" subtotalHiddenItems="1" colGrandTotals="0" itemPrintTitles="1" createdVersion="5" indent="0" outline="1" outlineData="1" multipleFieldFilters="0" chartFormat="4" rowHeaderCaption="Courses">
  <location ref="Q7:T12" firstHeaderRow="0" firstDataRow="1" firstDataCol="1"/>
  <pivotFields count="8">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formats count="7">
    <format dxfId="6">
      <pivotArea collapsedLevelsAreSubtotals="1" fieldPosition="0">
        <references count="2">
          <reference field="4294967294" count="1" selected="0">
            <x v="2"/>
          </reference>
          <reference field="0" count="0"/>
        </references>
      </pivotArea>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fieldPosition="0">
        <references count="1">
          <reference field="4294967294" count="3">
            <x v="0"/>
            <x v="1"/>
            <x v="2"/>
          </reference>
        </references>
      </pivotArea>
    </format>
  </formats>
  <pivotHierarchies count="58">
    <pivotHierarchy dragToData="1"/>
    <pivotHierarchy multipleItemSelectionAllowed="1">
      <members count="1" level="1">
        <member name="[Calendar].[Date Hierarchy].[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tudent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tudents]"/>
        <x15:activeTabTopLevelEntity name="[Calendar]"/>
        <x15:activeTabTopLevelEntity name="[fact_transactions]"/>
        <x15:activeTabTopLevelEntity name="[Dashboard_measu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B3B24436-0AFE-4BA5-85EE-753CA764D4C8}" sourceName="[Calendar].[Date Hierarchy]">
  <pivotTables>
    <pivotTable tabId="3" name="PivotTable4"/>
    <pivotTable tabId="2" name="PivotTable4"/>
    <pivotTable tabId="2" name="PivotTable5"/>
    <pivotTable tabId="3" name="PivotTable1"/>
    <pivotTable tabId="3" name="PivotTable2"/>
    <pivotTable tabId="3" name="PivotTable3"/>
    <pivotTable tabId="3" name="PivotTable5"/>
  </pivotTables>
  <data>
    <olap pivotCacheId="913341226">
      <levels count="4">
        <level uniqueName="[Calendar].[Date Hierarchy].[(All)]" sourceCaption="(All)" count="0"/>
        <level uniqueName="[Calendar].[Date Hierarchy].[Year]" sourceCaption="Year" count="2">
          <ranges>
            <range startItem="0">
              <i n="[Calendar].[Date Hierarchy].[Year].&amp;[2023]" c="2023"/>
              <i n="[Calendar].[Date Hierarchy].[Year].&amp;[2024]" c="2024"/>
            </range>
          </ranges>
        </level>
        <level uniqueName="[Calendar].[Date Hierarchy].[Month]" sourceCaption="Month" count="0"/>
        <level uniqueName="[Calendar].[Date Hierarchy].[DateColumn]" sourceCaption="DateColumn" count="0"/>
      </levels>
      <selections count="1">
        <selection n="[Calendar].[Date Hierarchy].[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D403F32-9D45-4E5D-963E-47949F1B81C7}" cache="Slicer_Date_Hierarchy" caption="Year"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987E1D-90A0-42A3-8641-C8348A006632}" name="dim_students" displayName="dim_students" ref="A1:D12" headerRowDxfId="28" dataDxfId="27" totalsRowDxfId="26">
  <tableColumns count="4">
    <tableColumn id="1" xr3:uid="{7175DA22-611B-44A8-92C6-E3FAA7AA6CEA}" name="Student ID" dataDxfId="25"/>
    <tableColumn id="2" xr3:uid="{A5944F8A-2368-48AE-919F-D572A9B17661}" name="student_name" dataDxfId="24"/>
    <tableColumn id="3" xr3:uid="{30F404BF-EE68-4667-A708-E57E84A899A1}" name="courses" dataDxfId="23"/>
    <tableColumn id="4" xr3:uid="{3CDF4939-1075-415B-B0CB-292BFB79B2FB}" name="Course_id" dataDxfId="22"/>
  </tableColumns>
  <tableStyleInfo name="Tables-style 8"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7E94D3-382F-444C-AB4D-7BC20C873237}" name="dim_authority" displayName="dim_authority" ref="F1:G4">
  <tableColumns count="2">
    <tableColumn id="1" xr3:uid="{89C9ADE9-58F9-4078-B741-1437284396C4}" name="Collected_Authority_ID"/>
    <tableColumn id="2" xr3:uid="{8062CBC9-818A-42BB-ABBC-B975DA76AD5D}" name="Name"/>
  </tableColumns>
  <tableStyleInfo name="Tables-style 9"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56333B-B143-4357-98D5-8D994B892C56}" name="dim_coursecompletion" displayName="dim_coursecompletion" ref="I1:J12">
  <tableColumns count="2">
    <tableColumn id="1" xr3:uid="{34781567-CA6C-4C43-90E2-4418EE01771C}" name="Student_Id"/>
    <tableColumn id="2" xr3:uid="{27493FA9-FB50-4C54-A101-D91436799310}" name="Status"/>
  </tableColumns>
  <tableStyleInfo name="Tables-style 14"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A582CD-14E4-4332-A909-AB83BD2B1328}" name="FactNov2023" displayName="FactNov2023" ref="A15:E26">
  <tableColumns count="5">
    <tableColumn id="1" xr3:uid="{EC63636D-2EB5-4C2D-90D5-FE1C3732F997}" name="Recipt No"/>
    <tableColumn id="2" xr3:uid="{475CB0EB-D008-47A2-B3B9-37B7D51737B8}" name="Date"/>
    <tableColumn id="3" xr3:uid="{86D42AA0-FDF7-45EE-9C9B-D042CBE0E774}" name="Student ID"/>
    <tableColumn id="4" xr3:uid="{1C1C8061-1795-45FF-92E8-D842F6503550}" name="Collected_Authority_ID"/>
    <tableColumn id="5" xr3:uid="{8CCA89D3-154E-4BB6-B82A-3D3985684E7C}" name="Amount"/>
  </tableColumns>
  <tableStyleInfo name="Tables-style 10"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9E3783-35A9-4563-B8B9-D9517D7E7A06}" name="FactNov2024" displayName="FactNov2024" ref="G15:K26" dataDxfId="21">
  <tableColumns count="5">
    <tableColumn id="1" xr3:uid="{4655D204-19B7-4595-8515-C5112A689898}" name="Recipt No" dataDxfId="20"/>
    <tableColumn id="2" xr3:uid="{46FC6835-ED39-4E94-88AB-7FEA814CA600}" name="Date" dataDxfId="19"/>
    <tableColumn id="3" xr3:uid="{F629A8DF-7BDD-4457-A59D-361C1F69D67D}" name="Student ID" dataDxfId="18"/>
    <tableColumn id="4" xr3:uid="{5F5D283D-E952-4DBC-8F47-7F7E32CB1975}" name="Collected_Authority_ID" dataDxfId="17"/>
    <tableColumn id="5" xr3:uid="{51E1653F-CBDA-41F3-B3BF-F2625AF265DC}" name="Amount" dataDxfId="16"/>
  </tableColumns>
  <tableStyleInfo name="Tables-style 11"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759050-CC44-464A-90E5-1026A35E8F67}" name="FactDec2024" displayName="FactDec2024" ref="M15:Q28">
  <tableColumns count="5">
    <tableColumn id="1" xr3:uid="{28DFD633-58B9-4B2D-A1DB-6EBE90496833}" name="Recipt No"/>
    <tableColumn id="2" xr3:uid="{80BBF199-96AB-494E-880D-533665C04EC2}" name="Date"/>
    <tableColumn id="3" xr3:uid="{BBCC9FA6-1F6E-4725-AC8A-4AD987430303}" name="Student ID"/>
    <tableColumn id="4" xr3:uid="{96423EEA-8FF7-417C-B497-73F34DD582D1}" name="Collected_Authority_ID"/>
    <tableColumn id="5" xr3:uid="{7782D647-8F69-4FDC-A426-988C2DE8589B}" name="Amount"/>
  </tableColumns>
  <tableStyleInfo name="Tables-style"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CE6920B-A265-436D-878E-DC7707E67671}" name="Dim_FeesMonthly" displayName="Dim_FeesMonthly" ref="S15:T26">
  <tableColumns count="2">
    <tableColumn id="1" xr3:uid="{4394C498-C5AA-4564-8E01-1741D603F517}" name="student_id (Unqiue)"/>
    <tableColumn id="2" xr3:uid="{CBF94E27-C0DA-4278-9976-384AE831D525}" name="Fees per month"/>
  </tableColumns>
  <tableStyleInfo name="Tables-style 12"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A8EED9B-63B8-42D2-A40D-9DBB2A774F50}" name="Dim_TotalFees" displayName="Dim_TotalFees" ref="V15:W26">
  <tableColumns count="2">
    <tableColumn id="1" xr3:uid="{432A1D59-DDE3-4202-9276-8555A8B5A338}" name="student_id (Unqiue)"/>
    <tableColumn id="2" xr3:uid="{5C9F1BEA-4763-4D7D-94F5-8B6168FE7745}" name="Total Fees"/>
  </tableColumns>
  <tableStyleInfo name="Tables-style 13"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CF37672-7F87-4D42-9909-99FAD285C2AA}" name="Dim_Courses" displayName="Dim_Courses" ref="G31:L43">
  <tableColumns count="6">
    <tableColumn id="1" xr3:uid="{E3EA7276-D315-460E-984A-1D3CA3DD134B}" name="Courseid"/>
    <tableColumn id="2" xr3:uid="{69768810-68A2-4B52-8B46-24747ECAEA76}" name="Course Name"/>
    <tableColumn id="3" xr3:uid="{0586A0A1-4B96-461F-92E5-8B01F02A7C2C}" name="Total Duration"/>
    <tableColumn id="4" xr3:uid="{5D689067-8258-4D42-8608-F7635C214C10}" name="Daily Classess"/>
    <tableColumn id="5" xr3:uid="{DC5D8BEE-43F3-4B29-A743-651F365906FF}" name="Book Material"/>
    <tableColumn id="6" xr3:uid="{EAB95AEA-0FC6-4DD4-B17A-0569A7CE8727}" name="Certification"/>
  </tableColumns>
  <tableStyleInfo name="Tables-style 3" showFirstColumn="1" showLastColumn="1"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F954FD1-B660-46CE-BDBB-132A0C78E240}" name="DimSession" displayName="DimSession" ref="N31:P41" headerRowDxfId="15">
  <tableColumns count="3">
    <tableColumn id="1" xr3:uid="{B18CAFC4-8277-4B46-A0A1-59FA34AEA8CE}" name="session_id"/>
    <tableColumn id="2" xr3:uid="{1734A72F-405D-4AF3-AB92-8E94DF782F8D}" name="session name"/>
    <tableColumn id="3" xr3:uid="{97B12CDD-6084-4C4C-B7B6-1A4FD85180A6}" name="expert_faculty_id"/>
  </tableColumns>
  <tableStyleInfo name="Tables-style 5"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EC7A4E0-9EFA-4DE3-A2B2-CBD2E309546C}" name="Dim_Faculty" displayName="Dim_Faculty" ref="R31:U37">
  <tableColumns count="4">
    <tableColumn id="1" xr3:uid="{9EBF02EA-B98D-4823-9504-FAFADE6FE7DF}" name="faculty_id"/>
    <tableColumn id="2" xr3:uid="{DFF676FC-9025-4F4F-99C7-D09A301A4C3E}" name="faculty name"/>
    <tableColumn id="3" xr3:uid="{963B2015-69B5-40FD-94F6-CC8E8952CFC9}" name="expertise"/>
    <tableColumn id="4" xr3:uid="{55913E8F-6C0C-46D1-B293-056B6111D28B}" name="current role"/>
  </tableColumns>
  <tableStyleInfo name="Tables-style 4"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DE16F5-E28A-4E13-A29C-5EB85F2D24FB}" name="FactSessions" displayName="FactSessions" ref="A45:F51" headerRowDxfId="14">
  <tableColumns count="6">
    <tableColumn id="1" xr3:uid="{8D53CA48-A42E-4BE5-84D5-22882CFBDFC6}" name="date"/>
    <tableColumn id="2" xr3:uid="{A8D74984-8362-4331-96DA-2A4ED2C3F1CC}" name="student id"/>
    <tableColumn id="3" xr3:uid="{F4B0A792-7494-4FF7-B078-F2DF13E28C6D}" name="session id"/>
    <tableColumn id="4" xr3:uid="{F68B3EE6-0CAD-4B1E-A565-3F15FF9D7A8B}" name="faculty id"/>
    <tableColumn id="5" xr3:uid="{834DB050-D9A7-446D-A890-432859FF7EAD}" name="response"/>
    <tableColumn id="6" xr3:uid="{EBA38549-9B7D-4415-B0B1-99843C4B1202}" name="feedback"/>
  </tableColumns>
  <tableStyleInfo name="Tables-style 6"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8BD1B31-072D-4AEE-A6DD-23EE3B5F7CBE}" name="DimCourseClassification" displayName="DimCourseClassification" ref="M45:O54">
  <tableColumns count="3">
    <tableColumn id="1" xr3:uid="{84F3392A-988E-4BCC-8DB3-83CC20A017BF}" name="Field"/>
    <tableColumn id="2" xr3:uid="{154C7C94-44FC-4CA2-B38C-6EA0DB03600D}" name="Courses"/>
    <tableColumn id="3" xr3:uid="{CC3FDFF6-7E7B-4AB1-A1EC-881EF94466FA}" name="Fees"/>
  </tableColumns>
  <tableStyleInfo name="Tables-style 7" showFirstColumn="1" showLastColumn="1"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381A7CD-3AF5-4FD3-82EE-6212A8879CA1}" name="FactTest" displayName="FactTest" ref="A31:E43" totalsRowShown="0" headerRowDxfId="13" headerRowBorderDxfId="12">
  <autoFilter ref="A31:E43" xr:uid="{1381A7CD-3AF5-4FD3-82EE-6212A8879CA1}"/>
  <tableColumns count="5">
    <tableColumn id="1" xr3:uid="{71F0454F-A28D-4725-931E-F805CC4A246D}" name="Studentid" dataDxfId="11"/>
    <tableColumn id="2" xr3:uid="{08B3AE07-AB0E-4EC3-840F-A84575953606}" name="test 1" dataDxfId="10"/>
    <tableColumn id="3" xr3:uid="{C05212C0-43F2-48E8-8BF3-F386A7857D43}" name="test 2" dataDxfId="9"/>
    <tableColumn id="4" xr3:uid="{FDBB86E1-9DEF-46F0-B1D3-DE958FAC554E}" name="test 3" dataDxfId="8"/>
    <tableColumn id="5" xr3:uid="{151555F4-B6CC-4507-A83D-75E79A42D643}" name="Students'Name"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DD749-140F-4BA6-A74D-BF1097DC37AA}">
  <sheetPr codeName="Sheet1"/>
  <dimension ref="A1:W54"/>
  <sheetViews>
    <sheetView topLeftCell="A22" zoomScale="85" zoomScaleNormal="85" workbookViewId="0">
      <selection activeCell="A31" sqref="A31:E43"/>
    </sheetView>
  </sheetViews>
  <sheetFormatPr defaultRowHeight="14.4" x14ac:dyDescent="0.3"/>
  <cols>
    <col min="1" max="1" width="17.5546875" bestFit="1" customWidth="1"/>
    <col min="2" max="2" width="15.33203125" bestFit="1" customWidth="1"/>
    <col min="3" max="3" width="17.5546875" bestFit="1" customWidth="1"/>
    <col min="4" max="4" width="23.77734375" bestFit="1" customWidth="1"/>
    <col min="5" max="5" width="20.6640625" customWidth="1"/>
    <col min="7" max="7" width="9.109375" customWidth="1"/>
    <col min="8" max="8" width="21.6640625" bestFit="1" customWidth="1"/>
    <col min="9" max="9" width="14.6640625" bestFit="1" customWidth="1"/>
    <col min="10" max="10" width="23.77734375" bestFit="1" customWidth="1"/>
    <col min="14" max="14" width="15.109375" bestFit="1" customWidth="1"/>
  </cols>
  <sheetData>
    <row r="1" spans="1:23" x14ac:dyDescent="0.3">
      <c r="A1" s="1" t="s">
        <v>0</v>
      </c>
      <c r="B1" s="2" t="s">
        <v>1</v>
      </c>
      <c r="C1" s="3" t="s">
        <v>2</v>
      </c>
      <c r="D1" s="2" t="s">
        <v>3</v>
      </c>
      <c r="F1" s="11" t="s">
        <v>19</v>
      </c>
      <c r="G1" s="12" t="s">
        <v>20</v>
      </c>
      <c r="I1" s="11" t="s">
        <v>23</v>
      </c>
      <c r="J1" s="12" t="s">
        <v>24</v>
      </c>
    </row>
    <row r="2" spans="1:23" x14ac:dyDescent="0.3">
      <c r="A2" s="4">
        <v>1</v>
      </c>
      <c r="B2" s="5" t="s">
        <v>4</v>
      </c>
      <c r="C2" s="6" t="s">
        <v>5</v>
      </c>
      <c r="D2" s="7">
        <v>3</v>
      </c>
      <c r="F2" s="13">
        <v>1</v>
      </c>
      <c r="G2" s="14" t="s">
        <v>6</v>
      </c>
      <c r="I2" s="17">
        <v>1</v>
      </c>
      <c r="J2" s="18" t="s">
        <v>25</v>
      </c>
    </row>
    <row r="3" spans="1:23" x14ac:dyDescent="0.3">
      <c r="A3" s="4">
        <v>2</v>
      </c>
      <c r="B3" s="5" t="s">
        <v>6</v>
      </c>
      <c r="C3" s="6" t="s">
        <v>7</v>
      </c>
      <c r="D3" s="7">
        <v>1</v>
      </c>
      <c r="F3" s="13">
        <v>2</v>
      </c>
      <c r="G3" s="14" t="s">
        <v>21</v>
      </c>
      <c r="I3" s="17">
        <v>2</v>
      </c>
      <c r="J3" s="18" t="s">
        <v>25</v>
      </c>
    </row>
    <row r="4" spans="1:23" x14ac:dyDescent="0.3">
      <c r="A4" s="4">
        <v>3</v>
      </c>
      <c r="B4" s="5" t="s">
        <v>8</v>
      </c>
      <c r="C4" s="6" t="s">
        <v>5</v>
      </c>
      <c r="D4" s="7">
        <v>3</v>
      </c>
      <c r="F4" s="15">
        <v>3</v>
      </c>
      <c r="G4" s="16" t="s">
        <v>22</v>
      </c>
      <c r="I4" s="17">
        <v>3</v>
      </c>
      <c r="J4" s="18" t="s">
        <v>25</v>
      </c>
    </row>
    <row r="5" spans="1:23" x14ac:dyDescent="0.3">
      <c r="A5" s="4">
        <v>4</v>
      </c>
      <c r="B5" s="5" t="s">
        <v>9</v>
      </c>
      <c r="C5" s="6" t="s">
        <v>7</v>
      </c>
      <c r="D5" s="7">
        <v>1</v>
      </c>
      <c r="I5" s="17">
        <v>4</v>
      </c>
      <c r="J5" s="18" t="s">
        <v>26</v>
      </c>
    </row>
    <row r="6" spans="1:23" x14ac:dyDescent="0.3">
      <c r="A6" s="4">
        <v>5</v>
      </c>
      <c r="B6" s="5" t="s">
        <v>10</v>
      </c>
      <c r="C6" s="6" t="s">
        <v>11</v>
      </c>
      <c r="D6" s="7">
        <v>2</v>
      </c>
      <c r="I6" s="17">
        <v>5</v>
      </c>
      <c r="J6" s="18" t="s">
        <v>26</v>
      </c>
    </row>
    <row r="7" spans="1:23" x14ac:dyDescent="0.3">
      <c r="A7" s="4">
        <v>6</v>
      </c>
      <c r="B7" s="5" t="s">
        <v>12</v>
      </c>
      <c r="C7" s="6" t="s">
        <v>5</v>
      </c>
      <c r="D7" s="7">
        <v>3</v>
      </c>
      <c r="I7" s="17">
        <v>6</v>
      </c>
      <c r="J7" s="18" t="s">
        <v>25</v>
      </c>
    </row>
    <row r="8" spans="1:23" x14ac:dyDescent="0.3">
      <c r="A8" s="4">
        <v>7</v>
      </c>
      <c r="B8" s="5" t="s">
        <v>13</v>
      </c>
      <c r="C8" s="6" t="s">
        <v>5</v>
      </c>
      <c r="D8" s="7">
        <v>3</v>
      </c>
      <c r="I8" s="17">
        <v>7</v>
      </c>
      <c r="J8" s="18" t="s">
        <v>26</v>
      </c>
    </row>
    <row r="9" spans="1:23" x14ac:dyDescent="0.3">
      <c r="A9" s="4">
        <v>8</v>
      </c>
      <c r="B9" s="5" t="s">
        <v>14</v>
      </c>
      <c r="C9" s="6" t="s">
        <v>7</v>
      </c>
      <c r="D9" s="7">
        <v>1</v>
      </c>
      <c r="I9" s="17">
        <v>8</v>
      </c>
      <c r="J9" s="18" t="s">
        <v>26</v>
      </c>
    </row>
    <row r="10" spans="1:23" x14ac:dyDescent="0.3">
      <c r="A10" s="4">
        <v>9</v>
      </c>
      <c r="B10" s="5" t="s">
        <v>15</v>
      </c>
      <c r="C10" s="6" t="s">
        <v>16</v>
      </c>
      <c r="D10" s="7">
        <v>1</v>
      </c>
      <c r="I10" s="17">
        <v>9</v>
      </c>
      <c r="J10" s="18" t="s">
        <v>25</v>
      </c>
    </row>
    <row r="11" spans="1:23" x14ac:dyDescent="0.3">
      <c r="A11" s="4">
        <v>10</v>
      </c>
      <c r="B11" s="5" t="s">
        <v>17</v>
      </c>
      <c r="C11" s="6" t="s">
        <v>11</v>
      </c>
      <c r="D11" s="7">
        <v>2</v>
      </c>
      <c r="I11" s="17">
        <v>10</v>
      </c>
      <c r="J11" s="18" t="s">
        <v>26</v>
      </c>
    </row>
    <row r="12" spans="1:23" x14ac:dyDescent="0.3">
      <c r="A12" s="8">
        <v>11</v>
      </c>
      <c r="B12" s="9" t="s">
        <v>18</v>
      </c>
      <c r="C12" s="10" t="s">
        <v>11</v>
      </c>
      <c r="D12" s="7">
        <v>2</v>
      </c>
      <c r="I12" s="19">
        <v>11</v>
      </c>
      <c r="J12" s="20" t="s">
        <v>25</v>
      </c>
    </row>
    <row r="15" spans="1:23" x14ac:dyDescent="0.3">
      <c r="A15" s="21" t="s">
        <v>27</v>
      </c>
      <c r="B15" s="22" t="s">
        <v>28</v>
      </c>
      <c r="C15" s="22" t="s">
        <v>0</v>
      </c>
      <c r="D15" s="23" t="s">
        <v>19</v>
      </c>
      <c r="E15" s="22" t="s">
        <v>29</v>
      </c>
      <c r="G15" s="27" t="s">
        <v>27</v>
      </c>
      <c r="H15" s="28" t="s">
        <v>28</v>
      </c>
      <c r="I15" s="28" t="s">
        <v>0</v>
      </c>
      <c r="J15" s="29" t="s">
        <v>19</v>
      </c>
      <c r="K15" s="28" t="s">
        <v>29</v>
      </c>
      <c r="M15" s="37" t="s">
        <v>27</v>
      </c>
      <c r="N15" s="38" t="s">
        <v>28</v>
      </c>
      <c r="O15" s="38" t="s">
        <v>0</v>
      </c>
      <c r="P15" s="39" t="s">
        <v>19</v>
      </c>
      <c r="Q15" s="38" t="s">
        <v>29</v>
      </c>
      <c r="S15" s="11" t="s">
        <v>30</v>
      </c>
      <c r="T15" s="11" t="s">
        <v>31</v>
      </c>
      <c r="V15" s="11" t="s">
        <v>30</v>
      </c>
      <c r="W15" s="11" t="s">
        <v>32</v>
      </c>
    </row>
    <row r="16" spans="1:23" x14ac:dyDescent="0.3">
      <c r="A16" s="24">
        <v>1011</v>
      </c>
      <c r="B16" s="25">
        <v>45231</v>
      </c>
      <c r="C16" s="26">
        <v>1</v>
      </c>
      <c r="D16" s="24">
        <v>1</v>
      </c>
      <c r="E16" s="24">
        <v>500</v>
      </c>
      <c r="G16" s="30">
        <v>1011</v>
      </c>
      <c r="H16" s="25">
        <v>45597</v>
      </c>
      <c r="I16" s="26">
        <v>1</v>
      </c>
      <c r="J16" s="31">
        <v>1</v>
      </c>
      <c r="K16" s="32">
        <v>1000</v>
      </c>
      <c r="M16" s="40">
        <v>1011</v>
      </c>
      <c r="N16" s="41">
        <v>45627</v>
      </c>
      <c r="O16" s="42">
        <v>1</v>
      </c>
      <c r="P16" s="43">
        <v>1</v>
      </c>
      <c r="Q16" s="44">
        <v>450</v>
      </c>
      <c r="S16" s="17">
        <v>1</v>
      </c>
      <c r="T16" s="50">
        <v>1500</v>
      </c>
      <c r="V16" s="17">
        <v>1</v>
      </c>
      <c r="W16" s="50">
        <v>24000</v>
      </c>
    </row>
    <row r="17" spans="1:23" x14ac:dyDescent="0.3">
      <c r="A17" s="24">
        <v>1012</v>
      </c>
      <c r="B17" s="25">
        <v>45232</v>
      </c>
      <c r="C17" s="26">
        <v>2</v>
      </c>
      <c r="D17" s="24">
        <v>2</v>
      </c>
      <c r="E17" s="24">
        <v>300</v>
      </c>
      <c r="G17" s="30">
        <v>1012</v>
      </c>
      <c r="H17" s="25">
        <v>45598</v>
      </c>
      <c r="I17" s="26">
        <v>1</v>
      </c>
      <c r="J17" s="31">
        <v>2</v>
      </c>
      <c r="K17" s="32">
        <v>100</v>
      </c>
      <c r="M17" s="40">
        <v>1012</v>
      </c>
      <c r="N17" s="41">
        <v>45628</v>
      </c>
      <c r="O17" s="42">
        <v>1</v>
      </c>
      <c r="P17" s="43">
        <v>2</v>
      </c>
      <c r="Q17" s="44">
        <v>500</v>
      </c>
      <c r="S17" s="17">
        <v>2</v>
      </c>
      <c r="T17" s="50">
        <v>1250</v>
      </c>
      <c r="V17" s="17">
        <v>2</v>
      </c>
      <c r="W17" s="50">
        <v>21000</v>
      </c>
    </row>
    <row r="18" spans="1:23" x14ac:dyDescent="0.3">
      <c r="A18" s="24">
        <v>1013</v>
      </c>
      <c r="B18" s="25">
        <v>45233</v>
      </c>
      <c r="C18" s="26">
        <v>2</v>
      </c>
      <c r="D18" s="24">
        <v>3</v>
      </c>
      <c r="E18" s="24">
        <v>200</v>
      </c>
      <c r="G18" s="30">
        <v>1013</v>
      </c>
      <c r="H18" s="25">
        <v>45599</v>
      </c>
      <c r="I18" s="26">
        <v>2</v>
      </c>
      <c r="J18" s="31">
        <v>3</v>
      </c>
      <c r="K18" s="32">
        <v>250</v>
      </c>
      <c r="M18" s="40">
        <v>1013</v>
      </c>
      <c r="N18" s="41">
        <v>45629</v>
      </c>
      <c r="O18" s="42">
        <v>2</v>
      </c>
      <c r="P18" s="43">
        <v>3</v>
      </c>
      <c r="Q18" s="44">
        <v>600</v>
      </c>
      <c r="S18" s="17">
        <v>3</v>
      </c>
      <c r="T18" s="50">
        <v>3600</v>
      </c>
      <c r="V18" s="17">
        <v>3</v>
      </c>
      <c r="W18" s="50">
        <v>28000</v>
      </c>
    </row>
    <row r="19" spans="1:23" x14ac:dyDescent="0.3">
      <c r="A19" s="24">
        <v>1014</v>
      </c>
      <c r="B19" s="25">
        <v>45234</v>
      </c>
      <c r="C19" s="26">
        <v>2</v>
      </c>
      <c r="D19" s="24">
        <v>1</v>
      </c>
      <c r="E19" s="24">
        <v>650</v>
      </c>
      <c r="G19" s="30">
        <v>1014</v>
      </c>
      <c r="H19" s="25">
        <v>45600</v>
      </c>
      <c r="I19" s="26">
        <v>10</v>
      </c>
      <c r="J19" s="31">
        <v>1</v>
      </c>
      <c r="K19" s="32">
        <v>1500</v>
      </c>
      <c r="M19" s="40">
        <v>1014</v>
      </c>
      <c r="N19" s="41">
        <v>45630</v>
      </c>
      <c r="O19" s="42">
        <v>2</v>
      </c>
      <c r="P19" s="43">
        <v>1</v>
      </c>
      <c r="Q19" s="44">
        <v>780</v>
      </c>
      <c r="S19" s="17">
        <v>4</v>
      </c>
      <c r="T19" s="50">
        <v>1400</v>
      </c>
      <c r="V19" s="17">
        <v>4</v>
      </c>
      <c r="W19" s="50">
        <v>26000</v>
      </c>
    </row>
    <row r="20" spans="1:23" x14ac:dyDescent="0.3">
      <c r="A20" s="24">
        <v>1015</v>
      </c>
      <c r="B20" s="25">
        <v>45235</v>
      </c>
      <c r="C20" s="26">
        <v>3</v>
      </c>
      <c r="D20" s="24">
        <v>1</v>
      </c>
      <c r="E20" s="24">
        <v>870</v>
      </c>
      <c r="G20" s="30">
        <v>1015</v>
      </c>
      <c r="H20" s="25">
        <v>45601</v>
      </c>
      <c r="I20" s="26">
        <v>11</v>
      </c>
      <c r="J20" s="31">
        <v>1</v>
      </c>
      <c r="K20" s="32">
        <v>100</v>
      </c>
      <c r="M20" s="40">
        <v>1015</v>
      </c>
      <c r="N20" s="41">
        <v>45631</v>
      </c>
      <c r="O20" s="42">
        <v>4</v>
      </c>
      <c r="P20" s="43">
        <v>1</v>
      </c>
      <c r="Q20" s="44">
        <v>1150</v>
      </c>
      <c r="S20" s="17">
        <v>5</v>
      </c>
      <c r="T20" s="50">
        <v>2800</v>
      </c>
      <c r="V20" s="17">
        <v>5</v>
      </c>
      <c r="W20" s="50">
        <v>29000</v>
      </c>
    </row>
    <row r="21" spans="1:23" x14ac:dyDescent="0.3">
      <c r="A21" s="24">
        <v>1016</v>
      </c>
      <c r="B21" s="25">
        <v>45236</v>
      </c>
      <c r="C21" s="26">
        <v>10</v>
      </c>
      <c r="D21" s="24">
        <v>1</v>
      </c>
      <c r="E21" s="24">
        <v>600</v>
      </c>
      <c r="G21" s="30">
        <v>1016</v>
      </c>
      <c r="H21" s="25">
        <v>45602</v>
      </c>
      <c r="I21" s="26">
        <v>2</v>
      </c>
      <c r="J21" s="31">
        <v>1</v>
      </c>
      <c r="K21" s="32">
        <v>300</v>
      </c>
      <c r="M21" s="40">
        <v>1016</v>
      </c>
      <c r="N21" s="41">
        <v>45632</v>
      </c>
      <c r="O21" s="42">
        <v>2</v>
      </c>
      <c r="P21" s="43">
        <v>1</v>
      </c>
      <c r="Q21" s="44">
        <v>600</v>
      </c>
      <c r="S21" s="17">
        <v>6</v>
      </c>
      <c r="T21" s="50">
        <v>2900</v>
      </c>
      <c r="V21" s="17">
        <v>6</v>
      </c>
      <c r="W21" s="50">
        <v>27000</v>
      </c>
    </row>
    <row r="22" spans="1:23" x14ac:dyDescent="0.3">
      <c r="A22" s="24">
        <v>1017</v>
      </c>
      <c r="B22" s="25">
        <v>45237</v>
      </c>
      <c r="C22" s="26">
        <v>3</v>
      </c>
      <c r="D22" s="24">
        <v>1</v>
      </c>
      <c r="E22" s="24">
        <v>1000</v>
      </c>
      <c r="G22" s="30">
        <v>1017</v>
      </c>
      <c r="H22" s="25">
        <v>45603</v>
      </c>
      <c r="I22" s="26">
        <v>1</v>
      </c>
      <c r="J22" s="31">
        <v>1</v>
      </c>
      <c r="K22" s="32">
        <v>1500</v>
      </c>
      <c r="M22" s="40">
        <v>1017</v>
      </c>
      <c r="N22" s="41">
        <v>45633</v>
      </c>
      <c r="O22" s="42">
        <v>3</v>
      </c>
      <c r="P22" s="43">
        <v>1</v>
      </c>
      <c r="Q22" s="44">
        <v>3600</v>
      </c>
      <c r="S22" s="17">
        <v>7</v>
      </c>
      <c r="T22" s="50">
        <v>1200</v>
      </c>
      <c r="V22" s="17">
        <v>7</v>
      </c>
      <c r="W22" s="50">
        <v>26000</v>
      </c>
    </row>
    <row r="23" spans="1:23" x14ac:dyDescent="0.3">
      <c r="A23" s="24">
        <v>1018</v>
      </c>
      <c r="B23" s="25">
        <v>45238</v>
      </c>
      <c r="C23" s="26">
        <v>11</v>
      </c>
      <c r="D23" s="24">
        <v>1</v>
      </c>
      <c r="E23" s="24">
        <v>1500</v>
      </c>
      <c r="G23" s="30">
        <v>1018</v>
      </c>
      <c r="H23" s="25">
        <v>45604</v>
      </c>
      <c r="I23" s="26">
        <v>1</v>
      </c>
      <c r="J23" s="31">
        <v>1</v>
      </c>
      <c r="K23" s="32">
        <v>1000</v>
      </c>
      <c r="M23" s="40">
        <v>1018</v>
      </c>
      <c r="N23" s="41">
        <v>45634</v>
      </c>
      <c r="O23" s="42">
        <v>1</v>
      </c>
      <c r="P23" s="43">
        <v>1</v>
      </c>
      <c r="Q23" s="44">
        <v>1500</v>
      </c>
      <c r="S23" s="17">
        <v>8</v>
      </c>
      <c r="T23" s="50">
        <v>4000</v>
      </c>
      <c r="V23" s="17">
        <v>8</v>
      </c>
      <c r="W23" s="50">
        <v>29000</v>
      </c>
    </row>
    <row r="24" spans="1:23" x14ac:dyDescent="0.3">
      <c r="A24" s="24">
        <v>1019</v>
      </c>
      <c r="B24" s="25">
        <v>45239</v>
      </c>
      <c r="C24" s="26">
        <v>2</v>
      </c>
      <c r="D24" s="24">
        <v>1</v>
      </c>
      <c r="E24" s="24">
        <v>600</v>
      </c>
      <c r="G24" s="30">
        <v>1019</v>
      </c>
      <c r="H24" s="25">
        <v>45605</v>
      </c>
      <c r="I24" s="26">
        <v>2</v>
      </c>
      <c r="J24" s="31">
        <v>1</v>
      </c>
      <c r="K24" s="32">
        <v>2100</v>
      </c>
      <c r="M24" s="40">
        <v>1019</v>
      </c>
      <c r="N24" s="41">
        <v>45635</v>
      </c>
      <c r="O24" s="42">
        <v>2</v>
      </c>
      <c r="P24" s="43">
        <v>1</v>
      </c>
      <c r="Q24" s="44">
        <v>2500</v>
      </c>
      <c r="S24" s="17">
        <v>9</v>
      </c>
      <c r="T24" s="50">
        <v>3000</v>
      </c>
      <c r="V24" s="17">
        <v>9</v>
      </c>
      <c r="W24" s="50">
        <v>28000</v>
      </c>
    </row>
    <row r="25" spans="1:23" x14ac:dyDescent="0.3">
      <c r="A25" s="24">
        <v>1020</v>
      </c>
      <c r="B25" s="25">
        <v>45240</v>
      </c>
      <c r="C25" s="26">
        <v>1</v>
      </c>
      <c r="D25" s="24">
        <v>1</v>
      </c>
      <c r="E25" s="24">
        <v>2800</v>
      </c>
      <c r="G25" s="30">
        <v>1020</v>
      </c>
      <c r="H25" s="25">
        <v>45606</v>
      </c>
      <c r="I25" s="26">
        <v>1</v>
      </c>
      <c r="J25" s="31">
        <v>1</v>
      </c>
      <c r="K25" s="32">
        <v>300</v>
      </c>
      <c r="M25" s="40">
        <v>1020</v>
      </c>
      <c r="N25" s="41">
        <v>45636</v>
      </c>
      <c r="O25" s="42">
        <v>1</v>
      </c>
      <c r="P25" s="43">
        <v>1</v>
      </c>
      <c r="Q25" s="44">
        <v>1600</v>
      </c>
      <c r="S25" s="17">
        <v>10</v>
      </c>
      <c r="T25" s="50">
        <v>4700</v>
      </c>
      <c r="V25" s="17">
        <v>10</v>
      </c>
      <c r="W25" s="50">
        <v>28000</v>
      </c>
    </row>
    <row r="26" spans="1:23" x14ac:dyDescent="0.3">
      <c r="A26" s="24">
        <v>1021</v>
      </c>
      <c r="B26" s="25">
        <v>45241</v>
      </c>
      <c r="C26" s="26">
        <v>3</v>
      </c>
      <c r="D26" s="24">
        <v>1</v>
      </c>
      <c r="E26" s="24">
        <v>600</v>
      </c>
      <c r="G26" s="33">
        <v>1021</v>
      </c>
      <c r="H26" s="34">
        <v>45607</v>
      </c>
      <c r="I26" s="35">
        <v>2</v>
      </c>
      <c r="J26" s="36">
        <v>1</v>
      </c>
      <c r="K26" s="32">
        <v>100</v>
      </c>
      <c r="M26" s="45">
        <v>1021</v>
      </c>
      <c r="N26" s="46">
        <v>45637</v>
      </c>
      <c r="O26" s="47">
        <v>3</v>
      </c>
      <c r="P26" s="48">
        <v>1</v>
      </c>
      <c r="Q26" s="44">
        <v>1500</v>
      </c>
      <c r="S26" s="19">
        <v>11</v>
      </c>
      <c r="T26" s="51">
        <v>4800</v>
      </c>
      <c r="V26" s="19">
        <v>11</v>
      </c>
      <c r="W26" s="51">
        <v>30000</v>
      </c>
    </row>
    <row r="27" spans="1:23" x14ac:dyDescent="0.3">
      <c r="M27" s="45">
        <v>1022</v>
      </c>
      <c r="N27" s="49">
        <v>45639</v>
      </c>
      <c r="O27" s="47">
        <v>9</v>
      </c>
      <c r="P27" s="48">
        <v>1</v>
      </c>
      <c r="Q27" s="44">
        <v>2500</v>
      </c>
      <c r="S27" s="52"/>
      <c r="T27" s="53"/>
      <c r="V27" s="52"/>
      <c r="W27" s="53"/>
    </row>
    <row r="28" spans="1:23" x14ac:dyDescent="0.3">
      <c r="M28" s="45">
        <v>1023</v>
      </c>
      <c r="N28" s="49">
        <v>45640</v>
      </c>
      <c r="O28" s="47">
        <v>9</v>
      </c>
      <c r="P28" s="48">
        <v>1</v>
      </c>
      <c r="Q28" s="44">
        <v>3600</v>
      </c>
      <c r="S28" s="52"/>
      <c r="T28" s="53"/>
      <c r="V28" s="52"/>
      <c r="W28" s="53"/>
    </row>
    <row r="31" spans="1:23" x14ac:dyDescent="0.3">
      <c r="A31" s="61" t="s">
        <v>33</v>
      </c>
      <c r="B31" s="62" t="s">
        <v>34</v>
      </c>
      <c r="C31" s="62" t="s">
        <v>35</v>
      </c>
      <c r="D31" s="63" t="s">
        <v>36</v>
      </c>
      <c r="E31" s="63" t="s">
        <v>37</v>
      </c>
      <c r="G31" s="22" t="s">
        <v>39</v>
      </c>
      <c r="H31" s="23" t="s">
        <v>40</v>
      </c>
      <c r="I31" s="23" t="s">
        <v>41</v>
      </c>
      <c r="J31" s="22" t="s">
        <v>42</v>
      </c>
      <c r="K31" s="23" t="s">
        <v>43</v>
      </c>
      <c r="L31" s="23" t="s">
        <v>44</v>
      </c>
      <c r="N31" s="56" t="s">
        <v>58</v>
      </c>
      <c r="O31" s="56" t="s">
        <v>59</v>
      </c>
      <c r="P31" s="56" t="s">
        <v>60</v>
      </c>
      <c r="R31" s="57" t="s">
        <v>71</v>
      </c>
      <c r="S31" s="57" t="s">
        <v>72</v>
      </c>
      <c r="T31" s="57" t="s">
        <v>73</v>
      </c>
      <c r="U31" s="57" t="s">
        <v>74</v>
      </c>
    </row>
    <row r="32" spans="1:23" x14ac:dyDescent="0.3">
      <c r="A32" s="61" t="s">
        <v>38</v>
      </c>
      <c r="B32" s="62">
        <v>80</v>
      </c>
      <c r="C32" s="62">
        <v>70</v>
      </c>
      <c r="D32" s="63">
        <v>60</v>
      </c>
      <c r="E32" s="63"/>
      <c r="G32" s="23">
        <v>1</v>
      </c>
      <c r="H32" s="23" t="s">
        <v>7</v>
      </c>
      <c r="I32" s="23">
        <v>6</v>
      </c>
      <c r="J32" s="22">
        <v>1</v>
      </c>
      <c r="K32" s="23" t="s">
        <v>45</v>
      </c>
      <c r="L32" s="23" t="s">
        <v>46</v>
      </c>
      <c r="N32" s="7">
        <v>1</v>
      </c>
      <c r="O32" s="7" t="s">
        <v>61</v>
      </c>
      <c r="P32" s="7">
        <v>1</v>
      </c>
      <c r="R32" s="57">
        <v>1</v>
      </c>
      <c r="S32" s="57" t="s">
        <v>6</v>
      </c>
      <c r="T32" s="57" t="s">
        <v>75</v>
      </c>
      <c r="U32" s="57" t="s">
        <v>76</v>
      </c>
    </row>
    <row r="33" spans="1:21" x14ac:dyDescent="0.3">
      <c r="A33" s="40">
        <v>1</v>
      </c>
      <c r="B33" s="54">
        <v>40</v>
      </c>
      <c r="C33" s="42">
        <v>80</v>
      </c>
      <c r="D33" s="43">
        <v>40</v>
      </c>
      <c r="E33" s="43" t="s">
        <v>4</v>
      </c>
      <c r="G33" s="43">
        <v>2</v>
      </c>
      <c r="H33" s="43" t="s">
        <v>11</v>
      </c>
      <c r="I33" s="43">
        <v>1.5</v>
      </c>
      <c r="J33" s="42">
        <v>1</v>
      </c>
      <c r="K33" s="43" t="s">
        <v>45</v>
      </c>
      <c r="L33" s="43" t="s">
        <v>46</v>
      </c>
      <c r="N33" s="7">
        <v>2</v>
      </c>
      <c r="O33" s="7" t="s">
        <v>62</v>
      </c>
      <c r="P33" s="7">
        <v>1</v>
      </c>
      <c r="R33" s="57">
        <v>2</v>
      </c>
      <c r="S33" s="57" t="s">
        <v>77</v>
      </c>
      <c r="T33" s="57" t="s">
        <v>78</v>
      </c>
      <c r="U33" s="57" t="s">
        <v>79</v>
      </c>
    </row>
    <row r="34" spans="1:21" x14ac:dyDescent="0.3">
      <c r="A34" s="40">
        <v>2</v>
      </c>
      <c r="B34" s="54">
        <v>50</v>
      </c>
      <c r="C34" s="42">
        <v>60</v>
      </c>
      <c r="D34" s="43">
        <v>50</v>
      </c>
      <c r="E34" s="43" t="s">
        <v>6</v>
      </c>
      <c r="G34" s="43">
        <v>3</v>
      </c>
      <c r="H34" s="43" t="s">
        <v>5</v>
      </c>
      <c r="I34" s="43">
        <v>12</v>
      </c>
      <c r="J34" s="42">
        <v>1</v>
      </c>
      <c r="K34" s="23" t="s">
        <v>45</v>
      </c>
      <c r="L34" s="43" t="s">
        <v>47</v>
      </c>
      <c r="N34" s="7">
        <v>3</v>
      </c>
      <c r="O34" s="7" t="s">
        <v>63</v>
      </c>
      <c r="P34" s="7">
        <v>1</v>
      </c>
      <c r="R34" s="57">
        <v>3</v>
      </c>
      <c r="S34" s="57" t="s">
        <v>80</v>
      </c>
      <c r="T34" s="57" t="s">
        <v>81</v>
      </c>
      <c r="U34" s="57" t="s">
        <v>82</v>
      </c>
    </row>
    <row r="35" spans="1:21" x14ac:dyDescent="0.3">
      <c r="A35" s="40">
        <v>3</v>
      </c>
      <c r="B35" s="54">
        <v>88</v>
      </c>
      <c r="C35" s="42">
        <v>50</v>
      </c>
      <c r="D35" s="43">
        <v>60</v>
      </c>
      <c r="E35" s="43" t="s">
        <v>8</v>
      </c>
      <c r="G35" s="43">
        <v>4</v>
      </c>
      <c r="H35" s="43" t="s">
        <v>48</v>
      </c>
      <c r="I35" s="43">
        <v>6</v>
      </c>
      <c r="J35" s="42">
        <v>1</v>
      </c>
      <c r="K35" s="23" t="s">
        <v>45</v>
      </c>
      <c r="L35" s="43" t="s">
        <v>49</v>
      </c>
      <c r="N35" s="7">
        <v>4</v>
      </c>
      <c r="O35" s="7" t="s">
        <v>64</v>
      </c>
      <c r="P35" s="7">
        <v>1</v>
      </c>
      <c r="R35" s="57">
        <v>4</v>
      </c>
      <c r="S35" s="57" t="s">
        <v>83</v>
      </c>
      <c r="T35" s="57" t="s">
        <v>84</v>
      </c>
      <c r="U35" s="57" t="s">
        <v>85</v>
      </c>
    </row>
    <row r="36" spans="1:21" x14ac:dyDescent="0.3">
      <c r="A36" s="40">
        <v>4</v>
      </c>
      <c r="B36" s="54">
        <v>95</v>
      </c>
      <c r="C36" s="42">
        <v>28</v>
      </c>
      <c r="D36" s="43">
        <v>90</v>
      </c>
      <c r="E36" s="43" t="s">
        <v>9</v>
      </c>
      <c r="G36" s="43">
        <v>5</v>
      </c>
      <c r="H36" s="43" t="s">
        <v>50</v>
      </c>
      <c r="I36" s="43">
        <v>1.5</v>
      </c>
      <c r="J36" s="42">
        <v>1</v>
      </c>
      <c r="K36" s="43" t="s">
        <v>45</v>
      </c>
      <c r="L36" s="43" t="s">
        <v>46</v>
      </c>
      <c r="N36" s="7">
        <v>5</v>
      </c>
      <c r="O36" s="7" t="s">
        <v>65</v>
      </c>
      <c r="P36" s="7">
        <v>2</v>
      </c>
      <c r="R36" s="57">
        <v>5</v>
      </c>
      <c r="S36" s="57" t="s">
        <v>86</v>
      </c>
      <c r="T36" s="57" t="s">
        <v>87</v>
      </c>
      <c r="U36" s="57" t="s">
        <v>85</v>
      </c>
    </row>
    <row r="37" spans="1:21" x14ac:dyDescent="0.3">
      <c r="A37" s="40">
        <v>5</v>
      </c>
      <c r="B37" s="54">
        <v>10</v>
      </c>
      <c r="C37" s="42">
        <v>60</v>
      </c>
      <c r="D37" s="43">
        <v>80</v>
      </c>
      <c r="E37" s="43" t="s">
        <v>10</v>
      </c>
      <c r="G37" s="43">
        <v>6</v>
      </c>
      <c r="H37" s="43" t="s">
        <v>51</v>
      </c>
      <c r="I37" s="43">
        <v>10</v>
      </c>
      <c r="J37" s="42">
        <v>1</v>
      </c>
      <c r="K37" s="23" t="s">
        <v>52</v>
      </c>
      <c r="L37" s="43" t="s">
        <v>47</v>
      </c>
      <c r="N37" s="7">
        <v>6</v>
      </c>
      <c r="O37" s="7" t="s">
        <v>66</v>
      </c>
      <c r="P37" s="7">
        <v>3</v>
      </c>
      <c r="R37" s="57">
        <v>6</v>
      </c>
      <c r="S37" s="57" t="s">
        <v>88</v>
      </c>
      <c r="T37" s="57" t="s">
        <v>57</v>
      </c>
      <c r="U37" s="57" t="s">
        <v>89</v>
      </c>
    </row>
    <row r="38" spans="1:21" x14ac:dyDescent="0.3">
      <c r="A38" s="40">
        <v>6</v>
      </c>
      <c r="B38" s="54">
        <v>10</v>
      </c>
      <c r="C38" s="42">
        <v>74</v>
      </c>
      <c r="D38" s="43">
        <v>60</v>
      </c>
      <c r="E38" s="43" t="s">
        <v>12</v>
      </c>
      <c r="G38" s="43">
        <v>7</v>
      </c>
      <c r="H38" s="43" t="s">
        <v>53</v>
      </c>
      <c r="I38" s="43">
        <v>3</v>
      </c>
      <c r="J38" s="42">
        <v>1</v>
      </c>
      <c r="K38" s="23" t="s">
        <v>45</v>
      </c>
      <c r="L38" s="43" t="s">
        <v>49</v>
      </c>
      <c r="N38" s="7">
        <v>7</v>
      </c>
      <c r="O38" s="7" t="s">
        <v>67</v>
      </c>
      <c r="P38" s="7">
        <v>1</v>
      </c>
    </row>
    <row r="39" spans="1:21" x14ac:dyDescent="0.3">
      <c r="A39" s="40">
        <v>7</v>
      </c>
      <c r="B39" s="54">
        <v>25</v>
      </c>
      <c r="C39" s="42">
        <v>95</v>
      </c>
      <c r="D39" s="43">
        <v>40</v>
      </c>
      <c r="E39" s="43" t="s">
        <v>13</v>
      </c>
      <c r="G39" s="43">
        <v>8</v>
      </c>
      <c r="H39" s="43" t="s">
        <v>54</v>
      </c>
      <c r="I39" s="43">
        <v>1</v>
      </c>
      <c r="J39" s="42">
        <v>1</v>
      </c>
      <c r="K39" s="43" t="s">
        <v>45</v>
      </c>
      <c r="L39" s="43" t="s">
        <v>47</v>
      </c>
      <c r="N39" s="7">
        <v>8</v>
      </c>
      <c r="O39" s="7" t="s">
        <v>68</v>
      </c>
      <c r="P39" s="7">
        <v>4</v>
      </c>
    </row>
    <row r="40" spans="1:21" x14ac:dyDescent="0.3">
      <c r="A40" s="40">
        <v>8</v>
      </c>
      <c r="B40" s="54">
        <v>100</v>
      </c>
      <c r="C40" s="42">
        <v>96</v>
      </c>
      <c r="D40" s="43">
        <v>50</v>
      </c>
      <c r="E40" s="43" t="s">
        <v>14</v>
      </c>
      <c r="G40" s="43">
        <v>9</v>
      </c>
      <c r="H40" s="43" t="s">
        <v>55</v>
      </c>
      <c r="I40" s="43">
        <v>1</v>
      </c>
      <c r="J40" s="42">
        <v>1</v>
      </c>
      <c r="K40" s="23" t="s">
        <v>45</v>
      </c>
      <c r="L40" s="43" t="s">
        <v>49</v>
      </c>
      <c r="N40" s="7">
        <v>9</v>
      </c>
      <c r="O40" s="7" t="s">
        <v>69</v>
      </c>
      <c r="P40" s="7">
        <v>4</v>
      </c>
    </row>
    <row r="41" spans="1:21" x14ac:dyDescent="0.3">
      <c r="A41" s="40">
        <v>9</v>
      </c>
      <c r="B41" s="54">
        <v>60</v>
      </c>
      <c r="C41" s="42">
        <v>50</v>
      </c>
      <c r="D41" s="43">
        <v>60</v>
      </c>
      <c r="E41" s="43" t="s">
        <v>15</v>
      </c>
      <c r="G41" s="43">
        <v>10</v>
      </c>
      <c r="H41" s="43" t="s">
        <v>16</v>
      </c>
      <c r="I41" s="43">
        <v>8</v>
      </c>
      <c r="J41" s="42">
        <v>1.5</v>
      </c>
      <c r="K41" s="23" t="s">
        <v>45</v>
      </c>
      <c r="L41" s="43" t="s">
        <v>47</v>
      </c>
      <c r="N41" s="7">
        <v>10</v>
      </c>
      <c r="O41" s="7" t="s">
        <v>70</v>
      </c>
      <c r="P41" s="7">
        <v>1</v>
      </c>
    </row>
    <row r="42" spans="1:21" x14ac:dyDescent="0.3">
      <c r="A42" s="40">
        <v>10</v>
      </c>
      <c r="B42" s="54">
        <v>40</v>
      </c>
      <c r="C42" s="42">
        <v>62</v>
      </c>
      <c r="D42" s="43">
        <v>70</v>
      </c>
      <c r="E42" s="43" t="s">
        <v>17</v>
      </c>
      <c r="G42" s="43">
        <v>11</v>
      </c>
      <c r="H42" s="43" t="s">
        <v>56</v>
      </c>
      <c r="I42" s="43">
        <v>6</v>
      </c>
      <c r="J42" s="42">
        <v>3</v>
      </c>
      <c r="K42" s="43" t="s">
        <v>45</v>
      </c>
      <c r="L42" s="43" t="s">
        <v>49</v>
      </c>
    </row>
    <row r="43" spans="1:21" x14ac:dyDescent="0.3">
      <c r="A43" s="45">
        <v>11</v>
      </c>
      <c r="B43" s="55">
        <v>50</v>
      </c>
      <c r="C43" s="47">
        <v>50</v>
      </c>
      <c r="D43" s="48">
        <v>60</v>
      </c>
      <c r="E43" s="48" t="s">
        <v>18</v>
      </c>
      <c r="G43" s="48">
        <v>12</v>
      </c>
      <c r="H43" s="48" t="s">
        <v>57</v>
      </c>
      <c r="I43" s="48">
        <v>12</v>
      </c>
      <c r="J43" s="47">
        <v>2</v>
      </c>
      <c r="K43" s="23" t="s">
        <v>45</v>
      </c>
      <c r="L43" s="48" t="s">
        <v>49</v>
      </c>
    </row>
    <row r="45" spans="1:21" x14ac:dyDescent="0.3">
      <c r="A45" s="56" t="s">
        <v>90</v>
      </c>
      <c r="B45" s="56" t="s">
        <v>91</v>
      </c>
      <c r="C45" s="56" t="s">
        <v>92</v>
      </c>
      <c r="D45" s="56" t="s">
        <v>93</v>
      </c>
      <c r="E45" s="56" t="s">
        <v>94</v>
      </c>
      <c r="F45" s="56" t="s">
        <v>95</v>
      </c>
      <c r="M45" s="59" t="s">
        <v>106</v>
      </c>
      <c r="N45" s="59" t="s">
        <v>107</v>
      </c>
      <c r="O45" s="59" t="s">
        <v>108</v>
      </c>
    </row>
    <row r="46" spans="1:21" x14ac:dyDescent="0.3">
      <c r="A46" s="58">
        <v>45627</v>
      </c>
      <c r="B46" s="7">
        <v>1</v>
      </c>
      <c r="C46" s="7">
        <v>1</v>
      </c>
      <c r="D46" s="7">
        <v>1</v>
      </c>
      <c r="E46" s="7" t="s">
        <v>96</v>
      </c>
      <c r="F46" s="57" t="s">
        <v>97</v>
      </c>
      <c r="M46" s="59" t="s">
        <v>109</v>
      </c>
      <c r="N46" s="59" t="s">
        <v>7</v>
      </c>
      <c r="O46" s="59">
        <v>19300</v>
      </c>
    </row>
    <row r="47" spans="1:21" x14ac:dyDescent="0.3">
      <c r="A47" s="58">
        <v>45627</v>
      </c>
      <c r="B47" s="7">
        <v>5</v>
      </c>
      <c r="C47" s="7">
        <v>2</v>
      </c>
      <c r="D47" s="7">
        <v>1</v>
      </c>
      <c r="E47" s="7" t="s">
        <v>98</v>
      </c>
      <c r="F47" s="57" t="s">
        <v>99</v>
      </c>
      <c r="M47" s="59"/>
      <c r="N47" s="59" t="s">
        <v>11</v>
      </c>
      <c r="O47" s="59">
        <v>5800</v>
      </c>
    </row>
    <row r="48" spans="1:21" x14ac:dyDescent="0.3">
      <c r="A48" s="58">
        <v>45627</v>
      </c>
      <c r="B48" s="7">
        <v>8</v>
      </c>
      <c r="C48" s="7">
        <v>2</v>
      </c>
      <c r="D48" s="7">
        <v>1</v>
      </c>
      <c r="E48" s="7" t="s">
        <v>100</v>
      </c>
      <c r="F48" s="57" t="s">
        <v>101</v>
      </c>
      <c r="M48" s="59"/>
      <c r="N48" s="59" t="s">
        <v>110</v>
      </c>
      <c r="O48" s="59">
        <v>5000</v>
      </c>
    </row>
    <row r="49" spans="1:15" x14ac:dyDescent="0.3">
      <c r="A49" s="58">
        <v>45627</v>
      </c>
      <c r="B49" s="7">
        <v>10</v>
      </c>
      <c r="C49" s="7">
        <v>3</v>
      </c>
      <c r="D49" s="7">
        <v>1</v>
      </c>
      <c r="E49" s="7" t="s">
        <v>96</v>
      </c>
      <c r="F49" s="57" t="s">
        <v>102</v>
      </c>
      <c r="M49" s="59"/>
      <c r="N49" s="59" t="s">
        <v>111</v>
      </c>
      <c r="O49" s="59">
        <v>3000</v>
      </c>
    </row>
    <row r="50" spans="1:15" x14ac:dyDescent="0.3">
      <c r="A50" s="58">
        <v>45627</v>
      </c>
      <c r="B50" s="7">
        <v>11</v>
      </c>
      <c r="C50" s="7">
        <v>1</v>
      </c>
      <c r="D50" s="7">
        <v>1</v>
      </c>
      <c r="E50" s="7" t="s">
        <v>96</v>
      </c>
      <c r="F50" s="57" t="s">
        <v>103</v>
      </c>
      <c r="M50" s="59" t="s">
        <v>112</v>
      </c>
      <c r="N50" s="59" t="s">
        <v>113</v>
      </c>
      <c r="O50" s="59">
        <v>12000</v>
      </c>
    </row>
    <row r="51" spans="1:15" x14ac:dyDescent="0.3">
      <c r="A51" s="58">
        <v>45627</v>
      </c>
      <c r="B51" s="7">
        <v>3</v>
      </c>
      <c r="C51" s="7">
        <v>1</v>
      </c>
      <c r="D51" s="7">
        <v>1</v>
      </c>
      <c r="E51" s="7" t="s">
        <v>104</v>
      </c>
      <c r="F51" s="57" t="s">
        <v>105</v>
      </c>
      <c r="M51" s="59"/>
      <c r="N51" s="59" t="s">
        <v>114</v>
      </c>
      <c r="O51" s="59">
        <v>5800</v>
      </c>
    </row>
    <row r="52" spans="1:15" x14ac:dyDescent="0.3">
      <c r="M52" s="59"/>
      <c r="N52" s="59" t="s">
        <v>115</v>
      </c>
      <c r="O52" s="59">
        <v>2600</v>
      </c>
    </row>
    <row r="53" spans="1:15" x14ac:dyDescent="0.3">
      <c r="M53" s="59"/>
      <c r="N53" s="59" t="s">
        <v>116</v>
      </c>
      <c r="O53" s="59">
        <v>1600</v>
      </c>
    </row>
    <row r="54" spans="1:15" x14ac:dyDescent="0.3">
      <c r="M54" s="59"/>
      <c r="N54" s="59" t="s">
        <v>117</v>
      </c>
      <c r="O54" s="59">
        <v>21000</v>
      </c>
    </row>
  </sheetData>
  <pageMargins left="0.7" right="0.7" top="0.75" bottom="0.75" header="0.3" footer="0.3"/>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6E9D-A8A3-4149-924F-1BE41C71B92F}">
  <sheetPr codeName="Sheet3"/>
  <dimension ref="A1:P36"/>
  <sheetViews>
    <sheetView topLeftCell="A22" workbookViewId="0">
      <selection activeCell="I36" sqref="I36"/>
    </sheetView>
  </sheetViews>
  <sheetFormatPr defaultRowHeight="14.4" x14ac:dyDescent="0.3"/>
  <cols>
    <col min="1" max="1" width="14.44140625" bestFit="1" customWidth="1"/>
    <col min="2" max="2" width="8.5546875" bestFit="1" customWidth="1"/>
    <col min="3" max="4" width="8.6640625" bestFit="1" customWidth="1"/>
    <col min="5" max="5" width="10.77734375" bestFit="1" customWidth="1"/>
    <col min="6" max="6" width="8.44140625" bestFit="1" customWidth="1"/>
    <col min="7" max="7" width="5" bestFit="1" customWidth="1"/>
    <col min="8" max="8" width="6.88671875" bestFit="1" customWidth="1"/>
    <col min="9" max="9" width="17.5546875" bestFit="1" customWidth="1"/>
    <col min="10" max="10" width="6.33203125" bestFit="1" customWidth="1"/>
    <col min="11" max="12" width="8.109375" bestFit="1" customWidth="1"/>
    <col min="13" max="13" width="15.88671875" bestFit="1" customWidth="1"/>
    <col min="14" max="14" width="6" customWidth="1"/>
    <col min="15" max="15" width="8.77734375" bestFit="1" customWidth="1"/>
    <col min="16" max="16" width="17.44140625" customWidth="1"/>
    <col min="17" max="17" width="5" bestFit="1" customWidth="1"/>
    <col min="18" max="18" width="12.21875" bestFit="1" customWidth="1"/>
    <col min="19" max="19" width="5" bestFit="1" customWidth="1"/>
    <col min="20" max="20" width="9.77734375" bestFit="1" customWidth="1"/>
    <col min="21" max="21" width="5" bestFit="1" customWidth="1"/>
    <col min="22" max="22" width="11.88671875" bestFit="1" customWidth="1"/>
    <col min="23" max="23" width="5" bestFit="1" customWidth="1"/>
    <col min="24" max="24" width="11.5546875" bestFit="1" customWidth="1"/>
    <col min="25" max="25" width="5" bestFit="1" customWidth="1"/>
    <col min="26" max="26" width="10.77734375" bestFit="1" customWidth="1"/>
  </cols>
  <sheetData>
    <row r="1" spans="1:16" x14ac:dyDescent="0.3">
      <c r="A1" s="60" t="s">
        <v>107</v>
      </c>
      <c r="B1" t="s">
        <v>119</v>
      </c>
    </row>
    <row r="2" spans="1:16" x14ac:dyDescent="0.3">
      <c r="A2" s="59" t="s">
        <v>11</v>
      </c>
      <c r="B2" s="72">
        <v>3</v>
      </c>
    </row>
    <row r="3" spans="1:16" x14ac:dyDescent="0.3">
      <c r="A3" s="59" t="s">
        <v>7</v>
      </c>
      <c r="B3" s="72">
        <v>3</v>
      </c>
    </row>
    <row r="4" spans="1:16" x14ac:dyDescent="0.3">
      <c r="A4" s="59" t="s">
        <v>16</v>
      </c>
      <c r="B4" s="72">
        <v>1</v>
      </c>
    </row>
    <row r="5" spans="1:16" x14ac:dyDescent="0.3">
      <c r="A5" s="59" t="s">
        <v>5</v>
      </c>
      <c r="B5" s="72">
        <v>4</v>
      </c>
    </row>
    <row r="6" spans="1:16" x14ac:dyDescent="0.3">
      <c r="A6" s="59" t="s">
        <v>118</v>
      </c>
      <c r="B6" s="72">
        <v>11</v>
      </c>
    </row>
    <row r="9" spans="1:16" x14ac:dyDescent="0.3">
      <c r="A9" s="60" t="s">
        <v>107</v>
      </c>
      <c r="B9" t="s">
        <v>120</v>
      </c>
      <c r="C9" t="s">
        <v>126</v>
      </c>
      <c r="D9" t="s">
        <v>122</v>
      </c>
      <c r="I9" s="61" t="s">
        <v>33</v>
      </c>
      <c r="J9" s="62" t="s">
        <v>34</v>
      </c>
      <c r="K9" s="62" t="s">
        <v>35</v>
      </c>
      <c r="L9" s="63" t="s">
        <v>36</v>
      </c>
      <c r="M9" s="63" t="s">
        <v>37</v>
      </c>
      <c r="P9">
        <v>6</v>
      </c>
    </row>
    <row r="10" spans="1:16" x14ac:dyDescent="0.3">
      <c r="A10" s="59" t="s">
        <v>11</v>
      </c>
      <c r="B10" s="72"/>
      <c r="C10" s="72">
        <v>1600</v>
      </c>
      <c r="D10" s="72">
        <v>1600</v>
      </c>
      <c r="I10" s="61" t="s">
        <v>38</v>
      </c>
      <c r="J10" s="62">
        <v>80</v>
      </c>
      <c r="K10" s="62">
        <v>70</v>
      </c>
      <c r="L10" s="63">
        <v>60</v>
      </c>
      <c r="M10" s="63"/>
    </row>
    <row r="11" spans="1:16" x14ac:dyDescent="0.3">
      <c r="A11" s="59" t="s">
        <v>7</v>
      </c>
      <c r="B11" s="72"/>
      <c r="C11" s="72">
        <v>2750</v>
      </c>
      <c r="D11" s="72">
        <v>2750</v>
      </c>
      <c r="I11" s="40">
        <v>1</v>
      </c>
      <c r="J11" s="54">
        <v>40</v>
      </c>
      <c r="K11" s="42">
        <v>80</v>
      </c>
      <c r="L11" s="43">
        <v>40</v>
      </c>
      <c r="M11" s="43" t="s">
        <v>4</v>
      </c>
      <c r="P11" t="str">
        <f>"Marks of " &amp;CHOOSE(P9,M11,M12,M13,M14,M15,M16,M17,M18,M19,M20,M21)</f>
        <v>Marks of Sudhir</v>
      </c>
    </row>
    <row r="12" spans="1:16" x14ac:dyDescent="0.3">
      <c r="A12" s="59" t="s">
        <v>5</v>
      </c>
      <c r="B12" s="72"/>
      <c r="C12" s="72">
        <v>3900</v>
      </c>
      <c r="D12" s="72">
        <v>3900</v>
      </c>
      <c r="I12" s="40">
        <v>2</v>
      </c>
      <c r="J12" s="54">
        <v>50</v>
      </c>
      <c r="K12" s="42">
        <v>60</v>
      </c>
      <c r="L12" s="43">
        <v>50</v>
      </c>
      <c r="M12" s="43" t="s">
        <v>6</v>
      </c>
    </row>
    <row r="13" spans="1:16" x14ac:dyDescent="0.3">
      <c r="A13" s="59" t="s">
        <v>118</v>
      </c>
      <c r="B13" s="72"/>
      <c r="C13" s="72">
        <v>8250</v>
      </c>
      <c r="D13" s="72">
        <v>8250</v>
      </c>
      <c r="I13" s="40">
        <v>3</v>
      </c>
      <c r="J13" s="54">
        <v>88</v>
      </c>
      <c r="K13" s="42">
        <v>50</v>
      </c>
      <c r="L13" s="43">
        <v>60</v>
      </c>
      <c r="M13" s="43" t="s">
        <v>8</v>
      </c>
    </row>
    <row r="14" spans="1:16" x14ac:dyDescent="0.3">
      <c r="I14" s="40">
        <v>4</v>
      </c>
      <c r="J14" s="54">
        <v>95</v>
      </c>
      <c r="K14" s="42">
        <v>28</v>
      </c>
      <c r="L14" s="43">
        <v>90</v>
      </c>
      <c r="M14" s="43" t="s">
        <v>9</v>
      </c>
    </row>
    <row r="15" spans="1:16" x14ac:dyDescent="0.3">
      <c r="I15" s="40">
        <v>5</v>
      </c>
      <c r="J15" s="54">
        <v>10</v>
      </c>
      <c r="K15" s="42">
        <v>60</v>
      </c>
      <c r="L15" s="43">
        <v>80</v>
      </c>
      <c r="M15" s="43" t="s">
        <v>10</v>
      </c>
    </row>
    <row r="16" spans="1:16" x14ac:dyDescent="0.3">
      <c r="B16">
        <f>B13</f>
        <v>0</v>
      </c>
      <c r="C16">
        <f>C13</f>
        <v>8250</v>
      </c>
      <c r="I16" s="40">
        <v>6</v>
      </c>
      <c r="J16" s="54">
        <v>10</v>
      </c>
      <c r="K16" s="42">
        <v>74</v>
      </c>
      <c r="L16" s="43">
        <v>60</v>
      </c>
      <c r="M16" s="43" t="s">
        <v>12</v>
      </c>
    </row>
    <row r="17" spans="1:16" x14ac:dyDescent="0.3">
      <c r="I17" s="40">
        <v>7</v>
      </c>
      <c r="J17" s="54">
        <v>25</v>
      </c>
      <c r="K17" s="42">
        <v>95</v>
      </c>
      <c r="L17" s="43">
        <v>40</v>
      </c>
      <c r="M17" s="43" t="s">
        <v>13</v>
      </c>
    </row>
    <row r="18" spans="1:16" x14ac:dyDescent="0.3">
      <c r="I18" s="40">
        <v>8</v>
      </c>
      <c r="J18" s="54">
        <v>100</v>
      </c>
      <c r="K18" s="42">
        <v>96</v>
      </c>
      <c r="L18" s="43">
        <v>50</v>
      </c>
      <c r="M18" s="43" t="s">
        <v>14</v>
      </c>
    </row>
    <row r="19" spans="1:16" x14ac:dyDescent="0.3">
      <c r="A19" t="s">
        <v>120</v>
      </c>
      <c r="B19" t="s">
        <v>121</v>
      </c>
      <c r="C19" t="s">
        <v>126</v>
      </c>
      <c r="I19" s="40">
        <v>9</v>
      </c>
      <c r="J19" s="54">
        <v>60</v>
      </c>
      <c r="K19" s="42">
        <v>50</v>
      </c>
      <c r="L19" s="43">
        <v>60</v>
      </c>
      <c r="M19" s="43" t="s">
        <v>15</v>
      </c>
    </row>
    <row r="20" spans="1:16" x14ac:dyDescent="0.3">
      <c r="A20" s="72"/>
      <c r="B20" s="72">
        <v>20880</v>
      </c>
      <c r="C20" s="72">
        <v>8250</v>
      </c>
      <c r="I20" s="40">
        <v>10</v>
      </c>
      <c r="J20" s="54">
        <v>40</v>
      </c>
      <c r="K20" s="42">
        <v>62</v>
      </c>
      <c r="L20" s="43">
        <v>70</v>
      </c>
      <c r="M20" s="43" t="s">
        <v>17</v>
      </c>
    </row>
    <row r="21" spans="1:16" x14ac:dyDescent="0.3">
      <c r="I21" s="45">
        <v>11</v>
      </c>
      <c r="J21" s="55">
        <v>50</v>
      </c>
      <c r="K21" s="47">
        <v>50</v>
      </c>
      <c r="L21" s="48">
        <v>60</v>
      </c>
      <c r="M21" s="48" t="s">
        <v>18</v>
      </c>
    </row>
    <row r="22" spans="1:16" x14ac:dyDescent="0.3">
      <c r="B22">
        <f>B20</f>
        <v>20880</v>
      </c>
      <c r="C22">
        <f>C20</f>
        <v>8250</v>
      </c>
    </row>
    <row r="23" spans="1:16" x14ac:dyDescent="0.3">
      <c r="B23" t="s">
        <v>127</v>
      </c>
      <c r="C23">
        <f>B22-C22</f>
        <v>12630</v>
      </c>
    </row>
    <row r="25" spans="1:16" x14ac:dyDescent="0.3">
      <c r="N25" t="s">
        <v>123</v>
      </c>
      <c r="O25" t="s">
        <v>124</v>
      </c>
      <c r="P25" t="s">
        <v>125</v>
      </c>
    </row>
    <row r="26" spans="1:16" x14ac:dyDescent="0.3">
      <c r="N26" t="s">
        <v>34</v>
      </c>
      <c r="O26">
        <f>HLOOKUP(N26,$I$9:$M$21,2,0)</f>
        <v>80</v>
      </c>
      <c r="P26">
        <f>HLOOKUP(N26,$I$9:$M$21,$P$9+2,0)</f>
        <v>10</v>
      </c>
    </row>
    <row r="27" spans="1:16" x14ac:dyDescent="0.3">
      <c r="A27" s="60" t="s">
        <v>129</v>
      </c>
      <c r="B27" t="s">
        <v>128</v>
      </c>
      <c r="N27" t="s">
        <v>35</v>
      </c>
      <c r="O27">
        <f t="shared" ref="O27:O28" si="0">HLOOKUP(N27,$I$9:$M$21,2,0)</f>
        <v>70</v>
      </c>
      <c r="P27">
        <f t="shared" ref="P27:P28" si="1">HLOOKUP(N27,$I$9:$M$21,$P$9+2,0)</f>
        <v>74</v>
      </c>
    </row>
    <row r="28" spans="1:16" x14ac:dyDescent="0.3">
      <c r="A28" s="59">
        <v>2024</v>
      </c>
      <c r="B28" s="72"/>
      <c r="N28" t="s">
        <v>36</v>
      </c>
      <c r="O28">
        <f t="shared" si="0"/>
        <v>60</v>
      </c>
      <c r="P28">
        <f t="shared" si="1"/>
        <v>60</v>
      </c>
    </row>
    <row r="29" spans="1:16" x14ac:dyDescent="0.3">
      <c r="A29" s="70" t="s">
        <v>130</v>
      </c>
      <c r="B29" s="72">
        <v>8250</v>
      </c>
    </row>
    <row r="30" spans="1:16" x14ac:dyDescent="0.3">
      <c r="A30" s="70" t="s">
        <v>131</v>
      </c>
      <c r="B30" s="72">
        <v>20880</v>
      </c>
    </row>
    <row r="33" spans="1:1" x14ac:dyDescent="0.3">
      <c r="A33" s="70"/>
    </row>
    <row r="34" spans="1:1" x14ac:dyDescent="0.3">
      <c r="A34" s="70"/>
    </row>
    <row r="35" spans="1:1" x14ac:dyDescent="0.3">
      <c r="A35" t="s">
        <v>128</v>
      </c>
    </row>
    <row r="36" spans="1:1" x14ac:dyDescent="0.3">
      <c r="A36" s="72">
        <v>29130</v>
      </c>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3073" r:id="rId8" name="List Box 1">
              <controlPr defaultSize="0" autoLine="0" autoPict="0">
                <anchor moveWithCells="1">
                  <from>
                    <xdr:col>17</xdr:col>
                    <xdr:colOff>685800</xdr:colOff>
                    <xdr:row>7</xdr:row>
                    <xdr:rowOff>175260</xdr:rowOff>
                  </from>
                  <to>
                    <xdr:col>20</xdr:col>
                    <xdr:colOff>175260</xdr:colOff>
                    <xdr:row>17</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034AA-1796-4F86-B89C-7FEFE8FDDCAC}">
  <sheetPr codeName="Sheet2"/>
  <dimension ref="B6:T25"/>
  <sheetViews>
    <sheetView showGridLines="0" tabSelected="1" zoomScale="85" zoomScaleNormal="85" workbookViewId="0">
      <selection activeCell="G24" sqref="G24"/>
    </sheetView>
  </sheetViews>
  <sheetFormatPr defaultRowHeight="14.4" x14ac:dyDescent="0.3"/>
  <cols>
    <col min="1" max="1" width="11.6640625" bestFit="1" customWidth="1"/>
    <col min="13" max="13" width="26" bestFit="1" customWidth="1"/>
    <col min="14" max="14" width="12.109375" bestFit="1" customWidth="1"/>
    <col min="15" max="16" width="12.88671875" bestFit="1" customWidth="1"/>
    <col min="17" max="17" width="26" bestFit="1" customWidth="1"/>
    <col min="18" max="18" width="12.109375" bestFit="1" customWidth="1"/>
    <col min="19" max="20" width="12.88671875" bestFit="1" customWidth="1"/>
  </cols>
  <sheetData>
    <row r="6" spans="2:20" ht="18" x14ac:dyDescent="0.3">
      <c r="B6" s="69"/>
    </row>
    <row r="7" spans="2:20" ht="21" x14ac:dyDescent="0.4">
      <c r="M7" s="66"/>
      <c r="N7" s="66"/>
      <c r="O7" s="66"/>
      <c r="P7" s="66"/>
      <c r="Q7" s="65" t="s">
        <v>107</v>
      </c>
      <c r="R7" s="66" t="s">
        <v>120</v>
      </c>
      <c r="S7" s="66" t="s">
        <v>121</v>
      </c>
      <c r="T7" s="66" t="s">
        <v>122</v>
      </c>
    </row>
    <row r="8" spans="2:20" ht="21" x14ac:dyDescent="0.4">
      <c r="M8" s="66"/>
      <c r="N8" s="66"/>
      <c r="O8" s="66"/>
      <c r="P8" s="66"/>
      <c r="Q8" s="67" t="s">
        <v>11</v>
      </c>
      <c r="R8" s="73"/>
      <c r="S8" s="73"/>
      <c r="T8" s="68">
        <v>1600</v>
      </c>
    </row>
    <row r="9" spans="2:20" ht="21" x14ac:dyDescent="0.4">
      <c r="M9" s="66"/>
      <c r="N9" s="66"/>
      <c r="O9" s="66"/>
      <c r="P9" s="66"/>
      <c r="Q9" s="67" t="s">
        <v>7</v>
      </c>
      <c r="R9" s="73"/>
      <c r="S9" s="73">
        <v>5630</v>
      </c>
      <c r="T9" s="68">
        <v>2750</v>
      </c>
    </row>
    <row r="10" spans="2:20" ht="21" x14ac:dyDescent="0.4">
      <c r="Q10" s="67" t="s">
        <v>16</v>
      </c>
      <c r="R10" s="73"/>
      <c r="S10" s="73">
        <v>6100</v>
      </c>
      <c r="T10" s="68"/>
    </row>
    <row r="11" spans="2:20" ht="21" x14ac:dyDescent="0.4">
      <c r="Q11" s="67" t="s">
        <v>5</v>
      </c>
      <c r="R11" s="73"/>
      <c r="S11" s="73">
        <v>9150</v>
      </c>
      <c r="T11" s="68">
        <v>3900</v>
      </c>
    </row>
    <row r="12" spans="2:20" ht="21" x14ac:dyDescent="0.4">
      <c r="Q12" s="67" t="s">
        <v>118</v>
      </c>
      <c r="R12" s="73"/>
      <c r="S12" s="73">
        <v>20880</v>
      </c>
      <c r="T12" s="73">
        <v>8250</v>
      </c>
    </row>
    <row r="13" spans="2:20" ht="21" x14ac:dyDescent="0.4">
      <c r="Q13" s="66"/>
    </row>
    <row r="14" spans="2:20" ht="21" x14ac:dyDescent="0.4">
      <c r="Q14" s="66"/>
    </row>
    <row r="16" spans="2:20" x14ac:dyDescent="0.3">
      <c r="M16" s="59"/>
      <c r="P16" s="64"/>
    </row>
    <row r="17" spans="13:19" x14ac:dyDescent="0.3">
      <c r="M17" s="59"/>
      <c r="P17" s="64"/>
    </row>
    <row r="20" spans="13:19" x14ac:dyDescent="0.3">
      <c r="Q20" s="60" t="s">
        <v>107</v>
      </c>
      <c r="R20" t="s">
        <v>108</v>
      </c>
      <c r="S20" t="s">
        <v>132</v>
      </c>
    </row>
    <row r="21" spans="13:19" x14ac:dyDescent="0.3">
      <c r="Q21" s="59" t="s">
        <v>11</v>
      </c>
      <c r="R21" s="72">
        <v>1600</v>
      </c>
      <c r="S21" s="71">
        <v>5.4926192928252661E-2</v>
      </c>
    </row>
    <row r="22" spans="13:19" x14ac:dyDescent="0.3">
      <c r="Q22" s="59" t="s">
        <v>7</v>
      </c>
      <c r="R22" s="72">
        <v>8380</v>
      </c>
      <c r="S22" s="71">
        <v>0.28767593546172332</v>
      </c>
    </row>
    <row r="23" spans="13:19" x14ac:dyDescent="0.3">
      <c r="Q23" s="59" t="s">
        <v>16</v>
      </c>
      <c r="R23" s="72">
        <v>6100</v>
      </c>
      <c r="S23" s="71">
        <v>0.20940611053896327</v>
      </c>
    </row>
    <row r="24" spans="13:19" x14ac:dyDescent="0.3">
      <c r="Q24" s="59" t="s">
        <v>5</v>
      </c>
      <c r="R24" s="72">
        <v>13050</v>
      </c>
      <c r="S24" s="71">
        <v>0.44799176107106076</v>
      </c>
    </row>
    <row r="25" spans="13:19" x14ac:dyDescent="0.3">
      <c r="Q25" s="59" t="s">
        <v>118</v>
      </c>
      <c r="R25" s="72">
        <v>29130</v>
      </c>
      <c r="S25" s="71">
        <v>1</v>
      </c>
    </row>
  </sheetData>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4100" r:id="rId5" name="List Box 4">
              <controlPr defaultSize="0" autoLine="0" autoPict="0">
                <anchor moveWithCells="1">
                  <from>
                    <xdr:col>7</xdr:col>
                    <xdr:colOff>91440</xdr:colOff>
                    <xdr:row>26</xdr:row>
                    <xdr:rowOff>129540</xdr:rowOff>
                  </from>
                  <to>
                    <xdr:col>8</xdr:col>
                    <xdr:colOff>335280</xdr:colOff>
                    <xdr:row>31</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F47E600A-6EEA-44FC-9946-D0F9074A3D76}">
  <ds:schemaRefs/>
</ds:datastoreItem>
</file>

<file path=customXml/itemProps2.xml><?xml version="1.0" encoding="utf-8"?>
<ds:datastoreItem xmlns:ds="http://schemas.openxmlformats.org/officeDocument/2006/customXml" ds:itemID="{6DABAC44-B199-476E-94C8-881CA7D79EEA}">
  <ds:schemaRefs/>
</ds:datastoreItem>
</file>

<file path=customXml/itemProps3.xml><?xml version="1.0" encoding="utf-8"?>
<ds:datastoreItem xmlns:ds="http://schemas.openxmlformats.org/officeDocument/2006/customXml" ds:itemID="{CCAB43A6-A7F4-4480-B78C-A1F568D5B51E}">
  <ds:schemaRefs/>
</ds:datastoreItem>
</file>

<file path=customXml/itemProps4.xml><?xml version="1.0" encoding="utf-8"?>
<ds:datastoreItem xmlns:ds="http://schemas.openxmlformats.org/officeDocument/2006/customXml" ds:itemID="{518551F3-7A47-407E-BB4D-0CD56B057DC0}">
  <ds:schemaRefs/>
</ds:datastoreItem>
</file>

<file path=customXml/itemProps5.xml><?xml version="1.0" encoding="utf-8"?>
<ds:datastoreItem xmlns:ds="http://schemas.openxmlformats.org/officeDocument/2006/customXml" ds:itemID="{EB992911-AEA8-4A7C-A0C9-8701535B7031}">
  <ds:schemaRefs/>
</ds:datastoreItem>
</file>

<file path=customXml/itemProps6.xml><?xml version="1.0" encoding="utf-8"?>
<ds:datastoreItem xmlns:ds="http://schemas.openxmlformats.org/officeDocument/2006/customXml" ds:itemID="{079603AA-E98E-48E8-BB07-B20CFBCA673D}">
  <ds:schemaRefs/>
</ds:datastoreItem>
</file>

<file path=customXml/itemProps7.xml><?xml version="1.0" encoding="utf-8"?>
<ds:datastoreItem xmlns:ds="http://schemas.openxmlformats.org/officeDocument/2006/customXml" ds:itemID="{0BC6C168-01D9-4091-8CCD-CE94C2FE6B8D}">
  <ds:schemaRefs/>
</ds:datastoreItem>
</file>

<file path=customXml/itemProps8.xml><?xml version="1.0" encoding="utf-8"?>
<ds:datastoreItem xmlns:ds="http://schemas.openxmlformats.org/officeDocument/2006/customXml" ds:itemID="{9850C67D-DA31-44E2-9B09-CFAFDDD4CD23}">
  <ds:schemaRefs/>
</ds:datastoreItem>
</file>

<file path=customXml/itemProps9.xml><?xml version="1.0" encoding="utf-8"?>
<ds:datastoreItem xmlns:ds="http://schemas.openxmlformats.org/officeDocument/2006/customXml" ds:itemID="{5880A344-BE97-4D5C-AD28-FE3968F6B216}">
  <ds:schemaRefs/>
</ds:datastoreItem>
</file>

<file path=customXml/itemProps10.xml><?xml version="1.0" encoding="utf-8"?>
<ds:datastoreItem xmlns:ds="http://schemas.openxmlformats.org/officeDocument/2006/customXml" ds:itemID="{A5B3362A-3548-4E3D-934A-CB80B05A8A18}">
  <ds:schemaRefs/>
</ds:datastoreItem>
</file>

<file path=customXml/itemProps11.xml><?xml version="1.0" encoding="utf-8"?>
<ds:datastoreItem xmlns:ds="http://schemas.openxmlformats.org/officeDocument/2006/customXml" ds:itemID="{6E5BF8A5-18F7-4BFB-8A42-CD6CAF276D0F}">
  <ds:schemaRefs/>
</ds:datastoreItem>
</file>

<file path=customXml/itemProps12.xml><?xml version="1.0" encoding="utf-8"?>
<ds:datastoreItem xmlns:ds="http://schemas.openxmlformats.org/officeDocument/2006/customXml" ds:itemID="{3A58DA44-F58F-4A29-989C-61BCA9FE5FAB}">
  <ds:schemaRefs/>
</ds:datastoreItem>
</file>

<file path=customXml/itemProps13.xml><?xml version="1.0" encoding="utf-8"?>
<ds:datastoreItem xmlns:ds="http://schemas.openxmlformats.org/officeDocument/2006/customXml" ds:itemID="{B679448A-F4B7-4602-87D5-E25BB290EFC7}">
  <ds:schemaRefs/>
</ds:datastoreItem>
</file>

<file path=customXml/itemProps14.xml><?xml version="1.0" encoding="utf-8"?>
<ds:datastoreItem xmlns:ds="http://schemas.openxmlformats.org/officeDocument/2006/customXml" ds:itemID="{280B64BF-D922-4D31-86BF-8B57FFD88C62}">
  <ds:schemaRefs/>
</ds:datastoreItem>
</file>

<file path=customXml/itemProps15.xml><?xml version="1.0" encoding="utf-8"?>
<ds:datastoreItem xmlns:ds="http://schemas.openxmlformats.org/officeDocument/2006/customXml" ds:itemID="{241FBDB3-9CB4-41C4-B303-C2AF25989ECF}">
  <ds:schemaRefs/>
</ds:datastoreItem>
</file>

<file path=customXml/itemProps16.xml><?xml version="1.0" encoding="utf-8"?>
<ds:datastoreItem xmlns:ds="http://schemas.openxmlformats.org/officeDocument/2006/customXml" ds:itemID="{2BC61AEC-C10C-4570-9291-35BA6F6C97E0}">
  <ds:schemaRefs/>
</ds:datastoreItem>
</file>

<file path=customXml/itemProps17.xml><?xml version="1.0" encoding="utf-8"?>
<ds:datastoreItem xmlns:ds="http://schemas.openxmlformats.org/officeDocument/2006/customXml" ds:itemID="{79A63D5D-C6A4-417F-B8F4-2021A26DCE87}">
  <ds:schemaRefs/>
</ds:datastoreItem>
</file>

<file path=customXml/itemProps18.xml><?xml version="1.0" encoding="utf-8"?>
<ds:datastoreItem xmlns:ds="http://schemas.openxmlformats.org/officeDocument/2006/customXml" ds:itemID="{A0CD88E6-05E0-4C2F-A102-8E8F9DD00170}">
  <ds:schemaRefs/>
</ds:datastoreItem>
</file>

<file path=customXml/itemProps19.xml><?xml version="1.0" encoding="utf-8"?>
<ds:datastoreItem xmlns:ds="http://schemas.openxmlformats.org/officeDocument/2006/customXml" ds:itemID="{97CB194F-E68C-4285-832E-176CA8B2CD3F}">
  <ds:schemaRefs/>
</ds:datastoreItem>
</file>

<file path=customXml/itemProps20.xml><?xml version="1.0" encoding="utf-8"?>
<ds:datastoreItem xmlns:ds="http://schemas.openxmlformats.org/officeDocument/2006/customXml" ds:itemID="{BA2B65BE-85B3-4AA6-80D1-6E2FC24EC99D}">
  <ds:schemaRefs/>
</ds:datastoreItem>
</file>

<file path=customXml/itemProps21.xml><?xml version="1.0" encoding="utf-8"?>
<ds:datastoreItem xmlns:ds="http://schemas.openxmlformats.org/officeDocument/2006/customXml" ds:itemID="{15F6EF14-E655-4556-A1B6-6B991A4106F6}">
  <ds:schemaRefs/>
</ds:datastoreItem>
</file>

<file path=customXml/itemProps22.xml><?xml version="1.0" encoding="utf-8"?>
<ds:datastoreItem xmlns:ds="http://schemas.openxmlformats.org/officeDocument/2006/customXml" ds:itemID="{4032397E-0335-417D-AD73-2F27433E4DF5}">
  <ds:schemaRefs/>
</ds:datastoreItem>
</file>

<file path=customXml/itemProps23.xml><?xml version="1.0" encoding="utf-8"?>
<ds:datastoreItem xmlns:ds="http://schemas.openxmlformats.org/officeDocument/2006/customXml" ds:itemID="{48F16C14-D162-4C2B-BDCC-3BFBC9C4AE42}">
  <ds:schemaRefs/>
</ds:datastoreItem>
</file>

<file path=customXml/itemProps24.xml><?xml version="1.0" encoding="utf-8"?>
<ds:datastoreItem xmlns:ds="http://schemas.openxmlformats.org/officeDocument/2006/customXml" ds:itemID="{5EC234EC-8E73-4C2C-A98A-A4A75F9101D7}">
  <ds:schemaRefs/>
</ds:datastoreItem>
</file>

<file path=customXml/itemProps25.xml><?xml version="1.0" encoding="utf-8"?>
<ds:datastoreItem xmlns:ds="http://schemas.openxmlformats.org/officeDocument/2006/customXml" ds:itemID="{CAA67D75-4B17-4865-BCC7-594BC5377108}">
  <ds:schemaRefs/>
</ds:datastoreItem>
</file>

<file path=customXml/itemProps26.xml><?xml version="1.0" encoding="utf-8"?>
<ds:datastoreItem xmlns:ds="http://schemas.openxmlformats.org/officeDocument/2006/customXml" ds:itemID="{F1CC3EAC-1AB8-42FC-BFE3-2C89FBB1CACC}">
  <ds:schemaRefs/>
</ds:datastoreItem>
</file>

<file path=customXml/itemProps27.xml><?xml version="1.0" encoding="utf-8"?>
<ds:datastoreItem xmlns:ds="http://schemas.openxmlformats.org/officeDocument/2006/customXml" ds:itemID="{4B889F7D-A37A-4A3D-8911-5988213FC028}">
  <ds:schemaRefs/>
</ds:datastoreItem>
</file>

<file path=customXml/itemProps28.xml><?xml version="1.0" encoding="utf-8"?>
<ds:datastoreItem xmlns:ds="http://schemas.openxmlformats.org/officeDocument/2006/customXml" ds:itemID="{2D469C9A-1D60-4B38-B04D-C2A3BF7BB531}">
  <ds:schemaRefs/>
</ds:datastoreItem>
</file>

<file path=customXml/itemProps29.xml><?xml version="1.0" encoding="utf-8"?>
<ds:datastoreItem xmlns:ds="http://schemas.openxmlformats.org/officeDocument/2006/customXml" ds:itemID="{7A1C3B94-AA73-40FA-AEB5-A763366AE552}">
  <ds:schemaRefs/>
</ds:datastoreItem>
</file>

<file path=customXml/itemProps30.xml><?xml version="1.0" encoding="utf-8"?>
<ds:datastoreItem xmlns:ds="http://schemas.openxmlformats.org/officeDocument/2006/customXml" ds:itemID="{B103B095-ADB4-4D89-B3CF-D7E471A344BE}">
  <ds:schemaRefs/>
</ds:datastoreItem>
</file>

<file path=customXml/itemProps31.xml><?xml version="1.0" encoding="utf-8"?>
<ds:datastoreItem xmlns:ds="http://schemas.openxmlformats.org/officeDocument/2006/customXml" ds:itemID="{695E6F9F-806F-4486-98A6-4B928BE2A0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 2</vt:lpstr>
      <vt:lpstr>FInancial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kukreti</dc:creator>
  <cp:lastModifiedBy>shashank kukreti</cp:lastModifiedBy>
  <dcterms:created xsi:type="dcterms:W3CDTF">2025-01-15T13:39:33Z</dcterms:created>
  <dcterms:modified xsi:type="dcterms:W3CDTF">2025-01-30T05:47:25Z</dcterms:modified>
</cp:coreProperties>
</file>